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#表格说明" sheetId="2" r:id="rId1"/>
    <sheet name="TalentRouteConfi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<sst xmlns="http://schemas.openxmlformats.org/spreadsheetml/2006/main" count="513" uniqueCount="164">
  <si>
    <t>升级、加成路线预制名</t>
  </si>
  <si>
    <t>两条预制</t>
  </si>
  <si>
    <t>升级</t>
  </si>
  <si>
    <t>每一层=</t>
  </si>
  <si>
    <t>11个点</t>
  </si>
  <si>
    <t>=</t>
  </si>
  <si>
    <t>10个升级点</t>
  </si>
  <si>
    <t>+</t>
  </si>
  <si>
    <t>1个瓶颈点</t>
  </si>
  <si>
    <t>对应10个属性</t>
  </si>
  <si>
    <t>攻击</t>
  </si>
  <si>
    <t>#</t>
  </si>
  <si>
    <t>Id</t>
  </si>
  <si>
    <t>对应功法阶段</t>
  </si>
  <si>
    <t>模板ID</t>
  </si>
  <si>
    <t>神经层数</t>
  </si>
  <si>
    <t>最大血量</t>
  </si>
  <si>
    <t>暴击值</t>
  </si>
  <si>
    <t>暴击抗性值</t>
  </si>
  <si>
    <t>命中值</t>
  </si>
  <si>
    <t>闪避值</t>
  </si>
  <si>
    <t>防御值</t>
  </si>
  <si>
    <t>升级材料Id</t>
  </si>
  <si>
    <t>基础消耗（实际消耗=（等级/2）向上取整*基础消耗）</t>
  </si>
  <si>
    <t>突破节点攻击值</t>
  </si>
  <si>
    <t>升层材料</t>
  </si>
  <si>
    <t>材料名</t>
  </si>
  <si>
    <t>数量</t>
  </si>
  <si>
    <t>NerveMould</t>
  </si>
  <si>
    <t>NerveTier</t>
  </si>
  <si>
    <t>NervePrefab</t>
  </si>
  <si>
    <t>Numeric1</t>
  </si>
  <si>
    <t>Numeric2</t>
  </si>
  <si>
    <t>Numeric3</t>
  </si>
  <si>
    <t>Numeric4</t>
  </si>
  <si>
    <t>Numeric5</t>
  </si>
  <si>
    <t>Numeric6</t>
  </si>
  <si>
    <t>Numeric7</t>
  </si>
  <si>
    <t>Numeric8</t>
  </si>
  <si>
    <t>Numeric9</t>
  </si>
  <si>
    <t>Numeric10</t>
  </si>
  <si>
    <t>MaterialUpId</t>
  </si>
  <si>
    <t>BaseNumber</t>
  </si>
  <si>
    <t>BreakAtk</t>
  </si>
  <si>
    <t>MateirialBreakId</t>
  </si>
  <si>
    <t>BreakNumber</t>
  </si>
  <si>
    <t>int</t>
  </si>
  <si>
    <t>string</t>
  </si>
  <si>
    <t>id=阶（1~2位）+层数（2位）</t>
  </si>
  <si>
    <t>功法点</t>
  </si>
  <si>
    <t>一阶1层</t>
  </si>
  <si>
    <t>EG_RouteA.prefab</t>
  </si>
  <si>
    <t>一阶2层</t>
  </si>
  <si>
    <t>EG_RouteB.prefab</t>
  </si>
  <si>
    <t>一阶3层</t>
  </si>
  <si>
    <t>功法要诀</t>
  </si>
  <si>
    <t>二阶1层</t>
  </si>
  <si>
    <t>二阶2层</t>
  </si>
  <si>
    <t>二阶3层</t>
  </si>
  <si>
    <t>二阶4层</t>
  </si>
  <si>
    <t>二阶5层</t>
  </si>
  <si>
    <t>二阶6层</t>
  </si>
  <si>
    <t>三阶1层</t>
  </si>
  <si>
    <t>三阶2层</t>
  </si>
  <si>
    <t>三阶3层</t>
  </si>
  <si>
    <t>三阶4层</t>
  </si>
  <si>
    <t>三阶5层</t>
  </si>
  <si>
    <t>三阶6层</t>
  </si>
  <si>
    <t>四阶1层</t>
  </si>
  <si>
    <t>四阶2层</t>
  </si>
  <si>
    <t>四阶3层</t>
  </si>
  <si>
    <t>四阶4层</t>
  </si>
  <si>
    <t>四阶5层</t>
  </si>
  <si>
    <t>四阶6层</t>
  </si>
  <si>
    <t>四阶7层</t>
  </si>
  <si>
    <t>四阶8层</t>
  </si>
  <si>
    <t>四阶9层</t>
  </si>
  <si>
    <t>五阶1层</t>
  </si>
  <si>
    <t>五阶2层</t>
  </si>
  <si>
    <t>五阶3层</t>
  </si>
  <si>
    <t>五阶4层</t>
  </si>
  <si>
    <t>五阶5层</t>
  </si>
  <si>
    <t>五阶6层</t>
  </si>
  <si>
    <t>五阶7层</t>
  </si>
  <si>
    <t>五阶8层</t>
  </si>
  <si>
    <t>五阶9层</t>
  </si>
  <si>
    <t>六阶1层</t>
  </si>
  <si>
    <t>六阶2层</t>
  </si>
  <si>
    <t>六阶3层</t>
  </si>
  <si>
    <t>六阶4层</t>
  </si>
  <si>
    <t>六阶5层</t>
  </si>
  <si>
    <t>六阶6层</t>
  </si>
  <si>
    <t>六阶7层</t>
  </si>
  <si>
    <t>六阶8层</t>
  </si>
  <si>
    <t>六阶9层</t>
  </si>
  <si>
    <t>六阶10层</t>
  </si>
  <si>
    <t>六阶11层</t>
  </si>
  <si>
    <t>六阶12层</t>
  </si>
  <si>
    <t>七阶1层</t>
  </si>
  <si>
    <t>七阶2层</t>
  </si>
  <si>
    <t>七阶3层</t>
  </si>
  <si>
    <t>七阶4层</t>
  </si>
  <si>
    <t>七阶5层</t>
  </si>
  <si>
    <t>七阶6层</t>
  </si>
  <si>
    <t>七阶7层</t>
  </si>
  <si>
    <t>七阶8层</t>
  </si>
  <si>
    <t>七阶9层</t>
  </si>
  <si>
    <t>七阶10层</t>
  </si>
  <si>
    <t>七阶11层</t>
  </si>
  <si>
    <t>七阶12层</t>
  </si>
  <si>
    <t>八阶1层</t>
  </si>
  <si>
    <t>八阶2层</t>
  </si>
  <si>
    <t>八阶3层</t>
  </si>
  <si>
    <t>八阶4层</t>
  </si>
  <si>
    <t>八阶5层</t>
  </si>
  <si>
    <t>八阶6层</t>
  </si>
  <si>
    <t>八阶7层</t>
  </si>
  <si>
    <t>八阶8层</t>
  </si>
  <si>
    <t>八阶9层</t>
  </si>
  <si>
    <t>八阶10层</t>
  </si>
  <si>
    <t>八阶11层</t>
  </si>
  <si>
    <t>八阶12层</t>
  </si>
  <si>
    <t>八阶13层</t>
  </si>
  <si>
    <t>八阶14层</t>
  </si>
  <si>
    <t>八阶15层</t>
  </si>
  <si>
    <t>八阶大功法</t>
  </si>
  <si>
    <t>九阶1层</t>
  </si>
  <si>
    <t>九阶2层</t>
  </si>
  <si>
    <t>九阶3层</t>
  </si>
  <si>
    <t>九阶4层</t>
  </si>
  <si>
    <t>九阶5层</t>
  </si>
  <si>
    <t>九阶6层</t>
  </si>
  <si>
    <t>九阶7层</t>
  </si>
  <si>
    <t>九阶8层</t>
  </si>
  <si>
    <t>九阶9层</t>
  </si>
  <si>
    <t>九阶10层</t>
  </si>
  <si>
    <t>九阶11层</t>
  </si>
  <si>
    <t>九阶12层</t>
  </si>
  <si>
    <t>九阶13层</t>
  </si>
  <si>
    <t>九阶14层</t>
  </si>
  <si>
    <t>九阶15层</t>
  </si>
  <si>
    <t>九阶大功法</t>
  </si>
  <si>
    <t>十阶1层</t>
  </si>
  <si>
    <t>十阶2层</t>
  </si>
  <si>
    <t>十阶3层</t>
  </si>
  <si>
    <t>十阶4层</t>
  </si>
  <si>
    <t>十阶5层</t>
  </si>
  <si>
    <t>十阶6层</t>
  </si>
  <si>
    <t>十阶7层</t>
  </si>
  <si>
    <t>十阶8层</t>
  </si>
  <si>
    <t>十阶9层</t>
  </si>
  <si>
    <t>十阶10层</t>
  </si>
  <si>
    <t>十阶11层</t>
  </si>
  <si>
    <t>十阶12层</t>
  </si>
  <si>
    <t>十阶13层</t>
  </si>
  <si>
    <t>十阶14层</t>
  </si>
  <si>
    <t>十阶15层</t>
  </si>
  <si>
    <t>id=阶（3位）+层数（2位）</t>
  </si>
  <si>
    <t>限定1层</t>
  </si>
  <si>
    <t>限定2层</t>
  </si>
  <si>
    <t>限定3层</t>
  </si>
  <si>
    <t>限定4层</t>
  </si>
  <si>
    <t>限定5层</t>
  </si>
  <si>
    <t>限定6层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</si>
</sst>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2:I17"/>
  <sheetViews>
    <sheetView workbookViewId="0">
      <selection activeCell="G17" sqref="G17"/>
    </sheetView>
  </sheetViews>
  <sheetFormatPr defaultColWidth="9" defaultRowHeight="13.5"/>
  <cols>
    <col min="3" max="3" width="25" customWidth="1"/>
    <col min="6" max="6" width="3.375" customWidth="1"/>
    <col min="7" max="7" width="11.5" customWidth="1"/>
    <col min="8" max="8" width="4" customWidth="1"/>
    <col min="9" max="9" width="9.5" customWidth="1"/>
  </cols>
  <sheetData>
    <row r="12" spans="3:5">
      <c r="C12" t="s">
        <v>0</v>
      </c>
      <c r="E12" t="s">
        <v>1</v>
      </c>
    </row>
    <row r="16" spans="3:9">
      <c r="C16" t="s">
        <v>2</v>
      </c>
      <c r="D16" t="s">
        <v>3</v>
      </c>
      <c r="E16" t="s">
        <v>4</v>
      </c>
      <c r="F16" s="10" t="s">
        <v>5</v>
      </c>
      <c r="G16" t="s">
        <v>6</v>
      </c>
      <c r="H16" s="10" t="s">
        <v>7</v>
      </c>
      <c r="I16" t="s">
        <v>8</v>
      </c>
    </row>
    <row r="17" spans="7:9">
      <c r="G17" t="s">
        <v>9</v>
      </c>
      <c r="I17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164"/>
  <sheetViews>
    <sheetView tabSelected="1" zoomScale="85" zoomScaleNormal="85" workbookViewId="0">
      <selection activeCell="F4" sqref="F4"/>
    </sheetView>
  </sheetViews>
  <sheetFormatPr defaultColWidth="9" defaultRowHeight="14.25"/>
  <cols>
    <col min="1" max="1" width="9.125" style="1" customWidth="1"/>
    <col min="2" max="2" width="9.25" style="1" customWidth="1"/>
    <col min="3" max="3" width="7.25" style="1" customWidth="1"/>
    <col min="4" max="4" width="10.375" style="1" customWidth="1"/>
    <col min="5" max="7" width="16.125" style="1" customWidth="1"/>
    <col min="8" max="8" width="8.875" style="1" customWidth="1"/>
    <col min="9" max="9" width="8.75" style="1" customWidth="1"/>
    <col min="10" max="10" width="9.625" style="1" customWidth="1"/>
    <col min="11" max="14" width="8.75" style="1" customWidth="1"/>
    <col min="15" max="15" width="9.625" style="1" customWidth="1"/>
    <col min="16" max="17" width="8.75" style="1" customWidth="1"/>
    <col min="18" max="18" width="15.625" style="1" customWidth="1"/>
    <col min="19" max="19" width="15.25" style="1" customWidth="1"/>
    <col min="20" max="20" width="9.875" style="1" customWidth="1"/>
    <col min="21" max="21" width="13.25" style="1" customWidth="1"/>
    <col min="22" max="22" width="16" style="1" customWidth="1"/>
    <col min="23" max="23" width="12.75" style="1" customWidth="1"/>
    <col min="24" max="16210" width="9" style="1"/>
    <col min="16213" max="16384" width="9" style="1"/>
  </cols>
  <sheetData>
    <row r="2" spans="4:23">
      <c r="D2" s="1" t="s">
        <v>11</v>
      </c>
      <c r="W2" s="1" t="s">
        <v>11</v>
      </c>
    </row>
    <row r="3" ht="42.75" spans="3:24">
      <c r="C3" s="2" t="s">
        <v>12</v>
      </c>
      <c r="D3" s="3" t="s">
        <v>13</v>
      </c>
      <c r="E3" s="4" t="s">
        <v>14</v>
      </c>
      <c r="F3" s="4" t="s">
        <v>15</v>
      </c>
      <c r="G3" s="2" t="s">
        <v>0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22</v>
      </c>
      <c r="S3" s="4" t="s">
        <v>23</v>
      </c>
      <c r="T3" s="7"/>
      <c r="U3" s="4" t="s">
        <v>24</v>
      </c>
      <c r="V3" s="2" t="s">
        <v>25</v>
      </c>
      <c r="W3" s="3" t="s">
        <v>26</v>
      </c>
      <c r="X3" s="2" t="s">
        <v>27</v>
      </c>
    </row>
    <row r="4" spans="3:24">
      <c r="C4" s="2" t="s">
        <v>12</v>
      </c>
      <c r="D4" s="3"/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3"/>
      <c r="U4" s="2" t="s">
        <v>43</v>
      </c>
      <c r="V4" s="2" t="s">
        <v>44</v>
      </c>
      <c r="W4" s="3"/>
      <c r="X4" s="2" t="s">
        <v>45</v>
      </c>
    </row>
    <row r="5" spans="3:24">
      <c r="C5" s="2" t="s">
        <v>46</v>
      </c>
      <c r="D5" s="3"/>
      <c r="E5" s="2" t="s">
        <v>46</v>
      </c>
      <c r="F5" s="2" t="s">
        <v>46</v>
      </c>
      <c r="G5" s="2" t="s">
        <v>47</v>
      </c>
      <c r="H5" s="2" t="s">
        <v>46</v>
      </c>
      <c r="I5" s="2" t="s">
        <v>46</v>
      </c>
      <c r="J5" s="2" t="s">
        <v>46</v>
      </c>
      <c r="K5" s="2" t="s">
        <v>46</v>
      </c>
      <c r="L5" s="2" t="s">
        <v>46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46</v>
      </c>
      <c r="S5" s="2" t="s">
        <v>46</v>
      </c>
      <c r="T5" s="3"/>
      <c r="U5" s="2" t="s">
        <v>46</v>
      </c>
      <c r="V5" s="2" t="s">
        <v>46</v>
      </c>
      <c r="W5" s="3"/>
      <c r="X5" s="2" t="s">
        <v>46</v>
      </c>
    </row>
    <row r="6" spans="2:21">
      <c r="B6" s="5" t="s">
        <v>11</v>
      </c>
      <c r="C6" s="6" t="s">
        <v>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6" t="s">
        <v>49</v>
      </c>
      <c r="U6" s="3"/>
    </row>
    <row r="7" spans="3:26">
      <c r="C7" s="1">
        <v>101</v>
      </c>
      <c r="D7" s="1" t="s">
        <v>50</v>
      </c>
      <c r="E7" s="1">
        <v>1</v>
      </c>
      <c r="F7" s="1">
        <v>0</v>
      </c>
      <c r="G7" s="1" t="s">
        <v>51</v>
      </c>
      <c r="H7" s="1">
        <v>2500</v>
      </c>
      <c r="I7" s="1">
        <v>40</v>
      </c>
      <c r="J7" s="1">
        <v>40</v>
      </c>
      <c r="K7" s="1">
        <v>50</v>
      </c>
      <c r="L7" s="1">
        <v>50</v>
      </c>
      <c r="M7" s="1">
        <v>15</v>
      </c>
      <c r="N7" s="1">
        <v>40</v>
      </c>
      <c r="O7" s="1">
        <v>40</v>
      </c>
      <c r="P7" s="1">
        <v>50</v>
      </c>
      <c r="Q7" s="1">
        <v>50</v>
      </c>
      <c r="R7" s="8">
        <v>3701</v>
      </c>
      <c r="S7" s="1">
        <v>2</v>
      </c>
      <c r="U7" s="1">
        <v>100</v>
      </c>
      <c r="V7" s="8">
        <v>3701</v>
      </c>
      <c r="W7" s="1" t="s">
        <v>49</v>
      </c>
      <c r="X7" s="1">
        <v>10</v>
      </c>
      <c r="Y7" s="1">
        <f>IF(W7="功法点",S7*5,X7)</f>
        <v>10</v>
      </c>
      <c r="Z7" s="1" t="str">
        <f t="shared" ref="Z7:Z14" si="0">IF(Y7=X7,"","11111")</f>
        <v/>
      </c>
    </row>
    <row r="8" spans="3:26">
      <c r="C8" s="1">
        <v>102</v>
      </c>
      <c r="D8" s="1" t="s">
        <v>52</v>
      </c>
      <c r="E8" s="1">
        <v>1</v>
      </c>
      <c r="F8" s="1">
        <v>1</v>
      </c>
      <c r="G8" s="1" t="s">
        <v>53</v>
      </c>
      <c r="H8" s="1">
        <v>3000</v>
      </c>
      <c r="I8" s="1">
        <v>50</v>
      </c>
      <c r="J8" s="1">
        <v>50</v>
      </c>
      <c r="K8" s="1">
        <v>60</v>
      </c>
      <c r="L8" s="1">
        <v>60</v>
      </c>
      <c r="M8" s="1">
        <v>15</v>
      </c>
      <c r="N8" s="1">
        <v>70</v>
      </c>
      <c r="O8" s="1">
        <v>70</v>
      </c>
      <c r="P8" s="1">
        <v>60</v>
      </c>
      <c r="Q8" s="1">
        <v>60</v>
      </c>
      <c r="R8" s="8">
        <v>3701</v>
      </c>
      <c r="S8" s="1">
        <v>2</v>
      </c>
      <c r="U8" s="1">
        <v>100</v>
      </c>
      <c r="V8" s="8">
        <v>3701</v>
      </c>
      <c r="W8" s="1" t="s">
        <v>49</v>
      </c>
      <c r="X8" s="1">
        <v>10</v>
      </c>
      <c r="Y8" s="1">
        <f t="shared" ref="Y7:Y21" si="1">IF(W8="功法点",S8*5,X8)</f>
        <v>10</v>
      </c>
      <c r="Z8" s="1" t="str">
        <f t="shared" si="0"/>
        <v/>
      </c>
    </row>
    <row r="9" spans="3:26">
      <c r="C9" s="1">
        <v>103</v>
      </c>
      <c r="D9" s="1" t="s">
        <v>54</v>
      </c>
      <c r="E9" s="1">
        <v>1</v>
      </c>
      <c r="F9" s="1">
        <v>2</v>
      </c>
      <c r="G9" s="1" t="s">
        <v>51</v>
      </c>
      <c r="H9" s="1">
        <v>3500</v>
      </c>
      <c r="I9" s="1">
        <v>60</v>
      </c>
      <c r="J9" s="1">
        <v>60</v>
      </c>
      <c r="K9" s="1">
        <v>60</v>
      </c>
      <c r="L9" s="1">
        <v>60</v>
      </c>
      <c r="M9" s="1">
        <v>20</v>
      </c>
      <c r="N9" s="1">
        <v>80</v>
      </c>
      <c r="O9" s="1">
        <v>80</v>
      </c>
      <c r="P9" s="1">
        <v>60</v>
      </c>
      <c r="Q9" s="1">
        <v>60</v>
      </c>
      <c r="R9" s="8">
        <v>3701</v>
      </c>
      <c r="S9" s="1">
        <v>2</v>
      </c>
      <c r="U9" s="1">
        <v>100</v>
      </c>
      <c r="V9" s="8">
        <v>3702</v>
      </c>
      <c r="W9" s="1" t="s">
        <v>55</v>
      </c>
      <c r="X9" s="1">
        <v>1</v>
      </c>
      <c r="Y9" s="1">
        <f t="shared" si="1"/>
        <v>1</v>
      </c>
      <c r="Z9" s="1" t="str">
        <f t="shared" si="0"/>
        <v/>
      </c>
    </row>
    <row r="10" spans="25:26">
      <c r="Y10" s="1">
        <f t="shared" si="1"/>
        <v>0</v>
      </c>
      <c r="Z10" s="1" t="str">
        <f t="shared" si="0"/>
        <v/>
      </c>
    </row>
    <row r="11" spans="3:26">
      <c r="C11" s="1">
        <v>201</v>
      </c>
      <c r="D11" s="1" t="s">
        <v>56</v>
      </c>
      <c r="E11" s="1">
        <v>2</v>
      </c>
      <c r="F11" s="1">
        <v>0</v>
      </c>
      <c r="G11" s="1" t="s">
        <v>51</v>
      </c>
      <c r="H11" s="1">
        <v>2000</v>
      </c>
      <c r="I11" s="1">
        <v>20</v>
      </c>
      <c r="J11" s="1">
        <v>20</v>
      </c>
      <c r="K11" s="1">
        <v>20</v>
      </c>
      <c r="L11" s="1">
        <v>20</v>
      </c>
      <c r="M11" s="1">
        <v>12</v>
      </c>
      <c r="N11" s="1">
        <v>30</v>
      </c>
      <c r="O11" s="1">
        <v>30</v>
      </c>
      <c r="P11" s="1">
        <v>20</v>
      </c>
      <c r="Q11" s="1">
        <v>20</v>
      </c>
      <c r="R11" s="8">
        <v>3701</v>
      </c>
      <c r="S11" s="1">
        <v>3</v>
      </c>
      <c r="U11" s="1">
        <v>50</v>
      </c>
      <c r="V11" s="8">
        <v>3701</v>
      </c>
      <c r="W11" s="1" t="s">
        <v>49</v>
      </c>
      <c r="X11" s="1">
        <v>15</v>
      </c>
      <c r="Y11" s="1">
        <f t="shared" si="1"/>
        <v>15</v>
      </c>
      <c r="Z11" s="1" t="str">
        <f t="shared" si="0"/>
        <v/>
      </c>
    </row>
    <row r="12" spans="3:26">
      <c r="C12" s="1">
        <v>202</v>
      </c>
      <c r="D12" s="1" t="s">
        <v>57</v>
      </c>
      <c r="E12" s="1">
        <v>2</v>
      </c>
      <c r="F12" s="1">
        <v>1</v>
      </c>
      <c r="G12" s="1" t="s">
        <v>53</v>
      </c>
      <c r="H12" s="1">
        <v>2500</v>
      </c>
      <c r="I12" s="1">
        <v>20</v>
      </c>
      <c r="J12" s="1">
        <v>20</v>
      </c>
      <c r="K12" s="1">
        <v>20</v>
      </c>
      <c r="L12" s="1">
        <v>20</v>
      </c>
      <c r="M12" s="1">
        <v>12</v>
      </c>
      <c r="N12" s="1">
        <v>30</v>
      </c>
      <c r="O12" s="1">
        <v>30</v>
      </c>
      <c r="P12" s="1">
        <v>20</v>
      </c>
      <c r="Q12" s="1">
        <v>20</v>
      </c>
      <c r="R12" s="8">
        <v>3701</v>
      </c>
      <c r="S12" s="1">
        <v>3</v>
      </c>
      <c r="U12" s="1">
        <v>50</v>
      </c>
      <c r="V12" s="8">
        <v>3701</v>
      </c>
      <c r="W12" s="1" t="s">
        <v>49</v>
      </c>
      <c r="X12" s="1">
        <v>15</v>
      </c>
      <c r="Y12" s="1">
        <f t="shared" si="1"/>
        <v>15</v>
      </c>
      <c r="Z12" s="1" t="str">
        <f t="shared" si="0"/>
        <v/>
      </c>
    </row>
    <row r="13" spans="3:26">
      <c r="C13" s="1">
        <v>203</v>
      </c>
      <c r="D13" s="1" t="s">
        <v>58</v>
      </c>
      <c r="E13" s="1">
        <v>2</v>
      </c>
      <c r="F13" s="1">
        <v>2</v>
      </c>
      <c r="G13" s="1" t="s">
        <v>51</v>
      </c>
      <c r="H13" s="1">
        <v>3000</v>
      </c>
      <c r="I13" s="1">
        <v>30</v>
      </c>
      <c r="J13" s="1">
        <v>30</v>
      </c>
      <c r="K13" s="1">
        <v>30</v>
      </c>
      <c r="L13" s="1">
        <v>30</v>
      </c>
      <c r="M13" s="1">
        <v>12</v>
      </c>
      <c r="N13" s="1">
        <v>40</v>
      </c>
      <c r="O13" s="1">
        <v>40</v>
      </c>
      <c r="P13" s="1">
        <v>30</v>
      </c>
      <c r="Q13" s="1">
        <v>30</v>
      </c>
      <c r="R13" s="8">
        <v>3701</v>
      </c>
      <c r="S13" s="1">
        <v>3</v>
      </c>
      <c r="U13" s="1">
        <v>50</v>
      </c>
      <c r="V13" s="8">
        <v>3702</v>
      </c>
      <c r="W13" s="1" t="s">
        <v>55</v>
      </c>
      <c r="X13" s="1">
        <v>1</v>
      </c>
      <c r="Y13" s="1">
        <f t="shared" si="1"/>
        <v>1</v>
      </c>
      <c r="Z13" s="1" t="str">
        <f t="shared" si="0"/>
        <v/>
      </c>
    </row>
    <row r="14" spans="3:26">
      <c r="C14" s="1">
        <v>204</v>
      </c>
      <c r="D14" s="1" t="s">
        <v>59</v>
      </c>
      <c r="E14" s="1">
        <v>2</v>
      </c>
      <c r="F14" s="1">
        <v>3</v>
      </c>
      <c r="G14" s="1" t="s">
        <v>53</v>
      </c>
      <c r="H14" s="1">
        <v>3500</v>
      </c>
      <c r="I14" s="1">
        <v>20</v>
      </c>
      <c r="J14" s="1">
        <v>20</v>
      </c>
      <c r="K14" s="1">
        <v>30</v>
      </c>
      <c r="L14" s="1">
        <v>30</v>
      </c>
      <c r="M14" s="1">
        <v>18</v>
      </c>
      <c r="N14" s="1">
        <v>40</v>
      </c>
      <c r="O14" s="1">
        <v>40</v>
      </c>
      <c r="P14" s="1">
        <v>30</v>
      </c>
      <c r="Q14" s="1">
        <v>30</v>
      </c>
      <c r="R14" s="8">
        <v>3701</v>
      </c>
      <c r="S14" s="1">
        <v>5</v>
      </c>
      <c r="U14" s="1">
        <v>75</v>
      </c>
      <c r="V14" s="8">
        <v>3701</v>
      </c>
      <c r="W14" s="1" t="s">
        <v>49</v>
      </c>
      <c r="X14" s="1">
        <v>25</v>
      </c>
      <c r="Y14" s="1">
        <f t="shared" si="1"/>
        <v>25</v>
      </c>
      <c r="Z14" s="1" t="str">
        <f t="shared" si="0"/>
        <v/>
      </c>
    </row>
    <row r="15" spans="3:26">
      <c r="C15" s="1">
        <v>205</v>
      </c>
      <c r="D15" s="1" t="s">
        <v>60</v>
      </c>
      <c r="E15" s="1">
        <v>2</v>
      </c>
      <c r="F15" s="1">
        <v>4</v>
      </c>
      <c r="G15" s="1" t="s">
        <v>51</v>
      </c>
      <c r="H15" s="1">
        <v>4000</v>
      </c>
      <c r="I15" s="1">
        <v>30</v>
      </c>
      <c r="J15" s="1">
        <v>30</v>
      </c>
      <c r="K15" s="1">
        <v>30</v>
      </c>
      <c r="L15" s="1">
        <v>30</v>
      </c>
      <c r="M15" s="1">
        <v>18</v>
      </c>
      <c r="N15" s="1">
        <v>40</v>
      </c>
      <c r="O15" s="1">
        <v>40</v>
      </c>
      <c r="P15" s="1">
        <v>30</v>
      </c>
      <c r="Q15" s="1">
        <v>30</v>
      </c>
      <c r="R15" s="8">
        <v>3701</v>
      </c>
      <c r="S15" s="1">
        <v>5</v>
      </c>
      <c r="U15" s="1">
        <v>75</v>
      </c>
      <c r="V15" s="8">
        <v>3701</v>
      </c>
      <c r="W15" s="1" t="s">
        <v>49</v>
      </c>
      <c r="X15" s="1">
        <v>25</v>
      </c>
      <c r="Y15" s="1">
        <f t="shared" si="1"/>
        <v>25</v>
      </c>
      <c r="Z15" s="1" t="str">
        <f t="shared" ref="Z15:Z46" si="2">IF(Y15=X15,"","11111")</f>
        <v/>
      </c>
    </row>
    <row r="16" spans="3:26">
      <c r="C16" s="1">
        <v>206</v>
      </c>
      <c r="D16" s="1" t="s">
        <v>61</v>
      </c>
      <c r="E16" s="1">
        <v>2</v>
      </c>
      <c r="F16" s="1">
        <v>5</v>
      </c>
      <c r="G16" s="1" t="s">
        <v>53</v>
      </c>
      <c r="H16" s="1">
        <v>7000</v>
      </c>
      <c r="I16" s="1">
        <v>30</v>
      </c>
      <c r="J16" s="1">
        <v>30</v>
      </c>
      <c r="K16" s="1">
        <v>40</v>
      </c>
      <c r="L16" s="1">
        <v>40</v>
      </c>
      <c r="M16" s="1">
        <v>18</v>
      </c>
      <c r="N16" s="1">
        <v>50</v>
      </c>
      <c r="O16" s="1">
        <v>50</v>
      </c>
      <c r="P16" s="1">
        <v>40</v>
      </c>
      <c r="Q16" s="1">
        <v>40</v>
      </c>
      <c r="R16" s="8">
        <v>3701</v>
      </c>
      <c r="S16" s="1">
        <v>5</v>
      </c>
      <c r="U16" s="1">
        <v>100</v>
      </c>
      <c r="V16" s="8">
        <v>3702</v>
      </c>
      <c r="W16" s="1" t="s">
        <v>55</v>
      </c>
      <c r="X16" s="1">
        <v>1</v>
      </c>
      <c r="Y16" s="1">
        <f t="shared" si="1"/>
        <v>1</v>
      </c>
      <c r="Z16" s="1" t="str">
        <f t="shared" si="2"/>
        <v/>
      </c>
    </row>
    <row r="17" spans="25:26">
      <c r="Y17" s="1">
        <f t="shared" si="1"/>
        <v>0</v>
      </c>
      <c r="Z17" s="1" t="str">
        <f t="shared" si="2"/>
        <v/>
      </c>
    </row>
    <row r="18" spans="3:26">
      <c r="C18" s="1">
        <v>301</v>
      </c>
      <c r="D18" s="1" t="s">
        <v>62</v>
      </c>
      <c r="E18" s="1">
        <v>3</v>
      </c>
      <c r="F18" s="1">
        <v>0</v>
      </c>
      <c r="G18" s="1" t="s">
        <v>51</v>
      </c>
      <c r="H18" s="1">
        <v>10000</v>
      </c>
      <c r="I18" s="1">
        <v>20</v>
      </c>
      <c r="J18" s="1">
        <v>20</v>
      </c>
      <c r="K18" s="1">
        <v>20</v>
      </c>
      <c r="L18" s="1">
        <v>20</v>
      </c>
      <c r="M18" s="1">
        <v>70</v>
      </c>
      <c r="N18" s="1">
        <v>30</v>
      </c>
      <c r="O18" s="1">
        <v>30</v>
      </c>
      <c r="P18" s="1">
        <v>20</v>
      </c>
      <c r="Q18" s="1">
        <v>20</v>
      </c>
      <c r="R18" s="8">
        <v>3701</v>
      </c>
      <c r="S18" s="1">
        <v>5</v>
      </c>
      <c r="U18" s="1">
        <v>350</v>
      </c>
      <c r="V18" s="8">
        <v>3701</v>
      </c>
      <c r="W18" s="1" t="s">
        <v>49</v>
      </c>
      <c r="X18" s="1">
        <v>25</v>
      </c>
      <c r="Y18" s="1">
        <f t="shared" si="1"/>
        <v>25</v>
      </c>
      <c r="Z18" s="1" t="str">
        <f t="shared" si="2"/>
        <v/>
      </c>
    </row>
    <row r="19" spans="3:26">
      <c r="C19" s="1">
        <v>302</v>
      </c>
      <c r="D19" s="1" t="s">
        <v>63</v>
      </c>
      <c r="E19" s="1">
        <v>3</v>
      </c>
      <c r="F19" s="1">
        <v>1</v>
      </c>
      <c r="G19" s="1" t="s">
        <v>53</v>
      </c>
      <c r="H19" s="1">
        <v>15000</v>
      </c>
      <c r="I19" s="1">
        <v>20</v>
      </c>
      <c r="J19" s="1">
        <v>20</v>
      </c>
      <c r="K19" s="1">
        <v>20</v>
      </c>
      <c r="L19" s="1">
        <v>20</v>
      </c>
      <c r="M19" s="1">
        <v>70</v>
      </c>
      <c r="N19" s="1">
        <v>30</v>
      </c>
      <c r="O19" s="1">
        <v>30</v>
      </c>
      <c r="P19" s="1">
        <v>20</v>
      </c>
      <c r="Q19" s="1">
        <v>20</v>
      </c>
      <c r="R19" s="8">
        <v>3701</v>
      </c>
      <c r="S19" s="1">
        <v>5</v>
      </c>
      <c r="U19" s="1">
        <v>350</v>
      </c>
      <c r="V19" s="8">
        <v>3701</v>
      </c>
      <c r="W19" s="1" t="s">
        <v>49</v>
      </c>
      <c r="X19" s="1">
        <v>25</v>
      </c>
      <c r="Y19" s="1">
        <f t="shared" si="1"/>
        <v>25</v>
      </c>
      <c r="Z19" s="1" t="str">
        <f t="shared" si="2"/>
        <v/>
      </c>
    </row>
    <row r="20" spans="3:26">
      <c r="C20" s="1">
        <v>303</v>
      </c>
      <c r="D20" s="1" t="s">
        <v>64</v>
      </c>
      <c r="E20" s="1">
        <v>3</v>
      </c>
      <c r="F20" s="1">
        <v>2</v>
      </c>
      <c r="G20" s="1" t="s">
        <v>51</v>
      </c>
      <c r="H20" s="1">
        <v>20000</v>
      </c>
      <c r="I20" s="1">
        <v>30</v>
      </c>
      <c r="J20" s="1">
        <v>30</v>
      </c>
      <c r="K20" s="1">
        <v>30</v>
      </c>
      <c r="L20" s="1">
        <v>30</v>
      </c>
      <c r="M20" s="1">
        <v>70</v>
      </c>
      <c r="N20" s="1">
        <v>40</v>
      </c>
      <c r="O20" s="1">
        <v>40</v>
      </c>
      <c r="P20" s="1">
        <v>30</v>
      </c>
      <c r="Q20" s="1">
        <v>30</v>
      </c>
      <c r="R20" s="8">
        <v>3701</v>
      </c>
      <c r="S20" s="1">
        <v>5</v>
      </c>
      <c r="U20" s="1">
        <v>350</v>
      </c>
      <c r="V20" s="8">
        <v>3702</v>
      </c>
      <c r="W20" s="1" t="s">
        <v>55</v>
      </c>
      <c r="X20" s="1">
        <v>1</v>
      </c>
      <c r="Y20" s="1">
        <f t="shared" si="1"/>
        <v>1</v>
      </c>
      <c r="Z20" s="1" t="str">
        <f t="shared" si="2"/>
        <v/>
      </c>
    </row>
    <row r="21" spans="3:26">
      <c r="C21" s="1">
        <v>304</v>
      </c>
      <c r="D21" s="1" t="s">
        <v>65</v>
      </c>
      <c r="E21" s="1">
        <v>3</v>
      </c>
      <c r="F21" s="1">
        <v>3</v>
      </c>
      <c r="G21" s="1" t="s">
        <v>53</v>
      </c>
      <c r="H21" s="1">
        <v>25000</v>
      </c>
      <c r="I21" s="1">
        <v>20</v>
      </c>
      <c r="J21" s="1">
        <v>20</v>
      </c>
      <c r="K21" s="1">
        <v>30</v>
      </c>
      <c r="L21" s="1">
        <v>30</v>
      </c>
      <c r="M21" s="1">
        <v>80</v>
      </c>
      <c r="N21" s="1">
        <v>40</v>
      </c>
      <c r="O21" s="1">
        <v>40</v>
      </c>
      <c r="P21" s="1">
        <v>30</v>
      </c>
      <c r="Q21" s="1">
        <v>30</v>
      </c>
      <c r="R21" s="8">
        <v>3701</v>
      </c>
      <c r="S21" s="1">
        <v>7</v>
      </c>
      <c r="U21" s="1">
        <v>400</v>
      </c>
      <c r="V21" s="8">
        <v>3701</v>
      </c>
      <c r="W21" s="1" t="s">
        <v>49</v>
      </c>
      <c r="X21" s="1">
        <v>35</v>
      </c>
      <c r="Y21" s="1">
        <f t="shared" si="1"/>
        <v>35</v>
      </c>
      <c r="Z21" s="1" t="str">
        <f t="shared" si="2"/>
        <v/>
      </c>
    </row>
    <row r="22" spans="3:26">
      <c r="C22" s="1">
        <v>305</v>
      </c>
      <c r="D22" s="1" t="s">
        <v>66</v>
      </c>
      <c r="E22" s="1">
        <v>3</v>
      </c>
      <c r="F22" s="1">
        <v>4</v>
      </c>
      <c r="G22" s="1" t="s">
        <v>51</v>
      </c>
      <c r="H22" s="1">
        <v>30000</v>
      </c>
      <c r="I22" s="1">
        <v>30</v>
      </c>
      <c r="J22" s="1">
        <v>30</v>
      </c>
      <c r="K22" s="1">
        <v>30</v>
      </c>
      <c r="L22" s="1">
        <v>30</v>
      </c>
      <c r="M22" s="1">
        <v>80</v>
      </c>
      <c r="N22" s="1">
        <v>40</v>
      </c>
      <c r="O22" s="1">
        <v>40</v>
      </c>
      <c r="P22" s="1">
        <v>30</v>
      </c>
      <c r="Q22" s="1">
        <v>30</v>
      </c>
      <c r="R22" s="8">
        <v>3701</v>
      </c>
      <c r="S22" s="1">
        <v>7</v>
      </c>
      <c r="U22" s="1">
        <v>400</v>
      </c>
      <c r="V22" s="8">
        <v>3701</v>
      </c>
      <c r="W22" s="1" t="s">
        <v>49</v>
      </c>
      <c r="X22" s="1">
        <v>35</v>
      </c>
      <c r="Y22" s="1">
        <f t="shared" ref="Y22:Y86" si="3">IF(W22="功法点",S22*5,X22)</f>
        <v>35</v>
      </c>
      <c r="Z22" s="1" t="str">
        <f t="shared" si="2"/>
        <v/>
      </c>
    </row>
    <row r="23" spans="3:26">
      <c r="C23" s="1">
        <v>306</v>
      </c>
      <c r="D23" s="1" t="s">
        <v>67</v>
      </c>
      <c r="E23" s="1">
        <v>3</v>
      </c>
      <c r="F23" s="1">
        <v>5</v>
      </c>
      <c r="G23" s="1" t="s">
        <v>53</v>
      </c>
      <c r="H23" s="1">
        <v>59000</v>
      </c>
      <c r="I23" s="1">
        <v>30</v>
      </c>
      <c r="J23" s="1">
        <v>30</v>
      </c>
      <c r="K23" s="1">
        <v>40</v>
      </c>
      <c r="L23" s="1">
        <v>40</v>
      </c>
      <c r="M23" s="1">
        <v>90</v>
      </c>
      <c r="N23" s="1">
        <v>50</v>
      </c>
      <c r="O23" s="1">
        <v>50</v>
      </c>
      <c r="P23" s="1">
        <v>40</v>
      </c>
      <c r="Q23" s="1">
        <v>40</v>
      </c>
      <c r="R23" s="8">
        <v>3701</v>
      </c>
      <c r="S23" s="1">
        <v>7</v>
      </c>
      <c r="U23" s="1">
        <v>450</v>
      </c>
      <c r="V23" s="8">
        <v>3702</v>
      </c>
      <c r="W23" s="1" t="s">
        <v>55</v>
      </c>
      <c r="X23" s="1">
        <v>1</v>
      </c>
      <c r="Y23" s="1">
        <f t="shared" si="3"/>
        <v>1</v>
      </c>
      <c r="Z23" s="1" t="str">
        <f t="shared" si="2"/>
        <v/>
      </c>
    </row>
    <row r="24" spans="26:26">
      <c r="Z24" s="1" t="str">
        <f t="shared" si="2"/>
        <v/>
      </c>
    </row>
    <row r="25" spans="3:26">
      <c r="C25" s="1">
        <v>401</v>
      </c>
      <c r="D25" s="1" t="s">
        <v>68</v>
      </c>
      <c r="E25" s="1">
        <v>4</v>
      </c>
      <c r="F25" s="1">
        <v>0</v>
      </c>
      <c r="G25" s="1" t="s">
        <v>51</v>
      </c>
      <c r="H25" s="1">
        <v>20000</v>
      </c>
      <c r="I25" s="1">
        <v>10</v>
      </c>
      <c r="J25" s="1">
        <v>10</v>
      </c>
      <c r="K25" s="1">
        <v>10</v>
      </c>
      <c r="L25" s="1">
        <v>10</v>
      </c>
      <c r="M25" s="1">
        <v>125</v>
      </c>
      <c r="N25" s="1">
        <v>20</v>
      </c>
      <c r="O25" s="1">
        <v>20</v>
      </c>
      <c r="P25" s="1">
        <v>10</v>
      </c>
      <c r="Q25" s="1">
        <v>10</v>
      </c>
      <c r="R25" s="8">
        <v>3701</v>
      </c>
      <c r="S25" s="1">
        <v>7</v>
      </c>
      <c r="U25" s="1">
        <v>550</v>
      </c>
      <c r="V25" s="8">
        <v>3701</v>
      </c>
      <c r="W25" s="1" t="s">
        <v>49</v>
      </c>
      <c r="X25" s="1">
        <v>35</v>
      </c>
      <c r="Y25" s="1">
        <f t="shared" si="3"/>
        <v>35</v>
      </c>
      <c r="Z25" s="1" t="str">
        <f t="shared" si="2"/>
        <v/>
      </c>
    </row>
    <row r="26" spans="3:26">
      <c r="C26" s="1">
        <v>402</v>
      </c>
      <c r="D26" s="1" t="s">
        <v>69</v>
      </c>
      <c r="E26" s="1">
        <v>4</v>
      </c>
      <c r="F26" s="1">
        <v>1</v>
      </c>
      <c r="G26" s="1" t="s">
        <v>53</v>
      </c>
      <c r="H26" s="1">
        <v>28000</v>
      </c>
      <c r="I26" s="1">
        <v>20</v>
      </c>
      <c r="J26" s="1">
        <v>20</v>
      </c>
      <c r="K26" s="1">
        <v>10</v>
      </c>
      <c r="L26" s="1">
        <v>10</v>
      </c>
      <c r="M26" s="1">
        <v>125</v>
      </c>
      <c r="N26" s="1">
        <v>20</v>
      </c>
      <c r="O26" s="1">
        <v>20</v>
      </c>
      <c r="P26" s="1">
        <v>10</v>
      </c>
      <c r="Q26" s="1">
        <v>10</v>
      </c>
      <c r="R26" s="8">
        <v>3701</v>
      </c>
      <c r="S26" s="1">
        <v>7</v>
      </c>
      <c r="U26" s="1">
        <v>550</v>
      </c>
      <c r="V26" s="8">
        <v>3701</v>
      </c>
      <c r="W26" s="1" t="s">
        <v>49</v>
      </c>
      <c r="X26" s="1">
        <v>35</v>
      </c>
      <c r="Y26" s="1">
        <f t="shared" si="3"/>
        <v>35</v>
      </c>
      <c r="Z26" s="1" t="str">
        <f t="shared" si="2"/>
        <v/>
      </c>
    </row>
    <row r="27" spans="3:26">
      <c r="C27" s="1">
        <v>403</v>
      </c>
      <c r="D27" s="1" t="s">
        <v>70</v>
      </c>
      <c r="E27" s="1">
        <v>4</v>
      </c>
      <c r="F27" s="1">
        <v>2</v>
      </c>
      <c r="G27" s="1" t="s">
        <v>51</v>
      </c>
      <c r="H27" s="1">
        <v>36000</v>
      </c>
      <c r="I27" s="1">
        <v>20</v>
      </c>
      <c r="J27" s="1">
        <v>20</v>
      </c>
      <c r="K27" s="1">
        <v>20</v>
      </c>
      <c r="L27" s="1">
        <v>20</v>
      </c>
      <c r="M27" s="1">
        <v>125</v>
      </c>
      <c r="N27" s="1">
        <v>20</v>
      </c>
      <c r="O27" s="1">
        <v>20</v>
      </c>
      <c r="P27" s="1">
        <v>20</v>
      </c>
      <c r="Q27" s="1">
        <v>20</v>
      </c>
      <c r="R27" s="8">
        <v>3701</v>
      </c>
      <c r="S27" s="1">
        <v>7</v>
      </c>
      <c r="U27" s="1">
        <v>550</v>
      </c>
      <c r="V27" s="8">
        <v>3702</v>
      </c>
      <c r="W27" s="1" t="s">
        <v>55</v>
      </c>
      <c r="X27" s="1">
        <v>1</v>
      </c>
      <c r="Y27" s="1">
        <f t="shared" si="3"/>
        <v>1</v>
      </c>
      <c r="Z27" s="1" t="str">
        <f t="shared" si="2"/>
        <v/>
      </c>
    </row>
    <row r="28" spans="3:26">
      <c r="C28" s="1">
        <v>404</v>
      </c>
      <c r="D28" s="1" t="s">
        <v>71</v>
      </c>
      <c r="E28" s="1">
        <v>4</v>
      </c>
      <c r="F28" s="1">
        <v>3</v>
      </c>
      <c r="G28" s="1" t="s">
        <v>53</v>
      </c>
      <c r="H28" s="1">
        <v>44000</v>
      </c>
      <c r="I28" s="1">
        <v>10</v>
      </c>
      <c r="J28" s="1">
        <v>10</v>
      </c>
      <c r="K28" s="1">
        <v>20</v>
      </c>
      <c r="L28" s="1">
        <v>20</v>
      </c>
      <c r="M28" s="1">
        <v>135</v>
      </c>
      <c r="N28" s="1">
        <v>20</v>
      </c>
      <c r="O28" s="1">
        <v>20</v>
      </c>
      <c r="P28" s="1">
        <v>20</v>
      </c>
      <c r="Q28" s="1">
        <v>20</v>
      </c>
      <c r="R28" s="8">
        <v>3701</v>
      </c>
      <c r="S28" s="1">
        <v>8</v>
      </c>
      <c r="U28" s="1">
        <v>675</v>
      </c>
      <c r="V28" s="8">
        <v>3701</v>
      </c>
      <c r="W28" s="1" t="s">
        <v>49</v>
      </c>
      <c r="X28" s="1">
        <v>40</v>
      </c>
      <c r="Y28" s="1">
        <f t="shared" si="3"/>
        <v>40</v>
      </c>
      <c r="Z28" s="1" t="str">
        <f t="shared" si="2"/>
        <v/>
      </c>
    </row>
    <row r="29" spans="3:26">
      <c r="C29" s="1">
        <v>405</v>
      </c>
      <c r="D29" s="1" t="s">
        <v>72</v>
      </c>
      <c r="E29" s="1">
        <v>4</v>
      </c>
      <c r="F29" s="1">
        <v>4</v>
      </c>
      <c r="G29" s="1" t="s">
        <v>51</v>
      </c>
      <c r="H29" s="1">
        <v>52000</v>
      </c>
      <c r="I29" s="1">
        <v>20</v>
      </c>
      <c r="J29" s="1">
        <v>20</v>
      </c>
      <c r="K29" s="1">
        <v>20</v>
      </c>
      <c r="L29" s="1">
        <v>20</v>
      </c>
      <c r="M29" s="1">
        <v>135</v>
      </c>
      <c r="N29" s="1">
        <v>30</v>
      </c>
      <c r="O29" s="1">
        <v>30</v>
      </c>
      <c r="P29" s="1">
        <v>20</v>
      </c>
      <c r="Q29" s="1">
        <v>20</v>
      </c>
      <c r="R29" s="8">
        <v>3701</v>
      </c>
      <c r="S29" s="1">
        <v>8</v>
      </c>
      <c r="U29" s="1">
        <v>675</v>
      </c>
      <c r="V29" s="8">
        <v>3701</v>
      </c>
      <c r="W29" s="1" t="s">
        <v>49</v>
      </c>
      <c r="X29" s="1">
        <v>40</v>
      </c>
      <c r="Y29" s="1">
        <f t="shared" si="3"/>
        <v>40</v>
      </c>
      <c r="Z29" s="1" t="str">
        <f t="shared" si="2"/>
        <v/>
      </c>
    </row>
    <row r="30" spans="3:26">
      <c r="C30" s="1">
        <v>406</v>
      </c>
      <c r="D30" s="1" t="s">
        <v>73</v>
      </c>
      <c r="E30" s="1">
        <v>4</v>
      </c>
      <c r="F30" s="1">
        <v>5</v>
      </c>
      <c r="G30" s="1" t="s">
        <v>53</v>
      </c>
      <c r="H30" s="1">
        <v>60000</v>
      </c>
      <c r="I30" s="1">
        <v>20</v>
      </c>
      <c r="J30" s="1">
        <v>20</v>
      </c>
      <c r="K30" s="1">
        <v>20</v>
      </c>
      <c r="L30" s="1">
        <v>20</v>
      </c>
      <c r="M30" s="1">
        <v>135</v>
      </c>
      <c r="N30" s="1">
        <v>30</v>
      </c>
      <c r="O30" s="1">
        <v>30</v>
      </c>
      <c r="P30" s="1">
        <v>20</v>
      </c>
      <c r="Q30" s="1">
        <v>20</v>
      </c>
      <c r="R30" s="8">
        <v>3701</v>
      </c>
      <c r="S30" s="1">
        <v>8</v>
      </c>
      <c r="U30" s="1">
        <v>675</v>
      </c>
      <c r="V30" s="8">
        <v>3702</v>
      </c>
      <c r="W30" s="1" t="s">
        <v>55</v>
      </c>
      <c r="X30" s="1">
        <v>1</v>
      </c>
      <c r="Y30" s="1">
        <f t="shared" si="3"/>
        <v>1</v>
      </c>
      <c r="Z30" s="1" t="str">
        <f t="shared" si="2"/>
        <v/>
      </c>
    </row>
    <row r="31" spans="3:26">
      <c r="C31" s="1">
        <v>407</v>
      </c>
      <c r="D31" s="1" t="s">
        <v>74</v>
      </c>
      <c r="E31" s="1">
        <v>4</v>
      </c>
      <c r="F31" s="1">
        <v>6</v>
      </c>
      <c r="G31" s="1" t="s">
        <v>51</v>
      </c>
      <c r="H31" s="1">
        <v>68000</v>
      </c>
      <c r="I31" s="1">
        <v>20</v>
      </c>
      <c r="J31" s="1">
        <v>20</v>
      </c>
      <c r="K31" s="1">
        <v>20</v>
      </c>
      <c r="L31" s="1">
        <v>20</v>
      </c>
      <c r="M31" s="1">
        <v>150</v>
      </c>
      <c r="N31" s="1">
        <v>30</v>
      </c>
      <c r="O31" s="1">
        <v>30</v>
      </c>
      <c r="P31" s="1">
        <v>20</v>
      </c>
      <c r="Q31" s="1">
        <v>20</v>
      </c>
      <c r="R31" s="8">
        <v>3701</v>
      </c>
      <c r="S31" s="1">
        <v>10</v>
      </c>
      <c r="U31" s="1">
        <v>850</v>
      </c>
      <c r="V31" s="8">
        <v>3701</v>
      </c>
      <c r="W31" s="1" t="s">
        <v>49</v>
      </c>
      <c r="X31" s="1">
        <v>50</v>
      </c>
      <c r="Y31" s="1">
        <f t="shared" si="3"/>
        <v>50</v>
      </c>
      <c r="Z31" s="1" t="str">
        <f t="shared" si="2"/>
        <v/>
      </c>
    </row>
    <row r="32" spans="3:26">
      <c r="C32" s="1">
        <v>408</v>
      </c>
      <c r="D32" s="1" t="s">
        <v>75</v>
      </c>
      <c r="E32" s="1">
        <v>4</v>
      </c>
      <c r="F32" s="1">
        <v>7</v>
      </c>
      <c r="G32" s="1" t="s">
        <v>53</v>
      </c>
      <c r="H32" s="1">
        <v>76000</v>
      </c>
      <c r="I32" s="1">
        <v>20</v>
      </c>
      <c r="J32" s="1">
        <v>20</v>
      </c>
      <c r="K32" s="1">
        <v>20</v>
      </c>
      <c r="L32" s="1">
        <v>20</v>
      </c>
      <c r="M32" s="1">
        <v>150</v>
      </c>
      <c r="N32" s="1">
        <v>30</v>
      </c>
      <c r="O32" s="1">
        <v>30</v>
      </c>
      <c r="P32" s="1">
        <v>20</v>
      </c>
      <c r="Q32" s="1">
        <v>20</v>
      </c>
      <c r="R32" s="8">
        <v>3701</v>
      </c>
      <c r="S32" s="1">
        <v>10</v>
      </c>
      <c r="U32" s="1">
        <v>850</v>
      </c>
      <c r="V32" s="8">
        <v>3701</v>
      </c>
      <c r="W32" s="1" t="s">
        <v>49</v>
      </c>
      <c r="X32" s="1">
        <v>50</v>
      </c>
      <c r="Y32" s="1">
        <f t="shared" si="3"/>
        <v>50</v>
      </c>
      <c r="Z32" s="1" t="str">
        <f t="shared" si="2"/>
        <v/>
      </c>
    </row>
    <row r="33" spans="3:26">
      <c r="C33" s="1">
        <v>409</v>
      </c>
      <c r="D33" s="1" t="s">
        <v>76</v>
      </c>
      <c r="E33" s="1">
        <v>4</v>
      </c>
      <c r="F33" s="1">
        <v>8</v>
      </c>
      <c r="G33" s="1" t="s">
        <v>51</v>
      </c>
      <c r="H33" s="1">
        <v>114000</v>
      </c>
      <c r="I33" s="1">
        <v>30</v>
      </c>
      <c r="J33" s="1">
        <v>30</v>
      </c>
      <c r="K33" s="1">
        <v>30</v>
      </c>
      <c r="L33" s="1">
        <v>30</v>
      </c>
      <c r="M33" s="1">
        <v>160</v>
      </c>
      <c r="N33" s="1">
        <v>40</v>
      </c>
      <c r="O33" s="1">
        <v>40</v>
      </c>
      <c r="P33" s="1">
        <v>30</v>
      </c>
      <c r="Q33" s="1">
        <v>30</v>
      </c>
      <c r="R33" s="8">
        <v>3701</v>
      </c>
      <c r="S33" s="1">
        <v>10</v>
      </c>
      <c r="U33" s="1">
        <v>925</v>
      </c>
      <c r="V33" s="8">
        <v>3702</v>
      </c>
      <c r="W33" s="1" t="s">
        <v>55</v>
      </c>
      <c r="X33" s="1">
        <v>2</v>
      </c>
      <c r="Y33" s="1">
        <f t="shared" si="3"/>
        <v>2</v>
      </c>
      <c r="Z33" s="1" t="str">
        <f t="shared" si="2"/>
        <v/>
      </c>
    </row>
    <row r="34" spans="25:26">
      <c r="Y34" s="1">
        <f t="shared" si="3"/>
        <v>0</v>
      </c>
      <c r="Z34" s="1" t="str">
        <f t="shared" si="2"/>
        <v/>
      </c>
    </row>
    <row r="35" spans="3:26">
      <c r="C35" s="1">
        <v>501</v>
      </c>
      <c r="D35" s="1" t="s">
        <v>77</v>
      </c>
      <c r="E35" s="1">
        <v>5</v>
      </c>
      <c r="F35" s="1">
        <v>0</v>
      </c>
      <c r="G35" s="1" t="s">
        <v>51</v>
      </c>
      <c r="H35" s="1">
        <v>60000</v>
      </c>
      <c r="I35" s="1">
        <v>10</v>
      </c>
      <c r="J35" s="1">
        <v>10</v>
      </c>
      <c r="K35" s="1">
        <v>10</v>
      </c>
      <c r="L35" s="1">
        <v>10</v>
      </c>
      <c r="M35" s="1">
        <v>195</v>
      </c>
      <c r="N35" s="1">
        <v>20</v>
      </c>
      <c r="O35" s="1">
        <v>20</v>
      </c>
      <c r="P35" s="1">
        <v>10</v>
      </c>
      <c r="Q35" s="1">
        <v>10</v>
      </c>
      <c r="R35" s="8">
        <v>3701</v>
      </c>
      <c r="S35" s="1">
        <v>8</v>
      </c>
      <c r="U35" s="1">
        <v>900</v>
      </c>
      <c r="V35" s="8">
        <v>3701</v>
      </c>
      <c r="W35" s="1" t="s">
        <v>49</v>
      </c>
      <c r="X35" s="1">
        <v>40</v>
      </c>
      <c r="Y35" s="1">
        <f t="shared" si="3"/>
        <v>40</v>
      </c>
      <c r="Z35" s="1" t="str">
        <f t="shared" si="2"/>
        <v/>
      </c>
    </row>
    <row r="36" spans="3:26">
      <c r="C36" s="1">
        <v>502</v>
      </c>
      <c r="D36" s="1" t="s">
        <v>78</v>
      </c>
      <c r="E36" s="1">
        <v>5</v>
      </c>
      <c r="F36" s="1">
        <v>1</v>
      </c>
      <c r="G36" s="1" t="s">
        <v>53</v>
      </c>
      <c r="H36" s="1">
        <v>65000</v>
      </c>
      <c r="I36" s="1">
        <v>20</v>
      </c>
      <c r="J36" s="1">
        <v>20</v>
      </c>
      <c r="K36" s="1">
        <v>10</v>
      </c>
      <c r="L36" s="1">
        <v>10</v>
      </c>
      <c r="M36" s="1">
        <v>195</v>
      </c>
      <c r="N36" s="1">
        <v>20</v>
      </c>
      <c r="O36" s="1">
        <v>20</v>
      </c>
      <c r="P36" s="1">
        <v>10</v>
      </c>
      <c r="Q36" s="1">
        <v>10</v>
      </c>
      <c r="R36" s="8">
        <v>3701</v>
      </c>
      <c r="S36" s="1">
        <v>8</v>
      </c>
      <c r="U36" s="1">
        <v>900</v>
      </c>
      <c r="V36" s="8">
        <v>3701</v>
      </c>
      <c r="W36" s="1" t="s">
        <v>49</v>
      </c>
      <c r="X36" s="1">
        <v>40</v>
      </c>
      <c r="Y36" s="1">
        <f t="shared" si="3"/>
        <v>40</v>
      </c>
      <c r="Z36" s="1" t="str">
        <f t="shared" si="2"/>
        <v/>
      </c>
    </row>
    <row r="37" spans="3:26">
      <c r="C37" s="1">
        <v>503</v>
      </c>
      <c r="D37" s="1" t="s">
        <v>79</v>
      </c>
      <c r="E37" s="1">
        <v>5</v>
      </c>
      <c r="F37" s="1">
        <v>2</v>
      </c>
      <c r="G37" s="1" t="s">
        <v>51</v>
      </c>
      <c r="H37" s="1">
        <v>70000</v>
      </c>
      <c r="I37" s="1">
        <v>20</v>
      </c>
      <c r="J37" s="1">
        <v>20</v>
      </c>
      <c r="K37" s="1">
        <v>20</v>
      </c>
      <c r="L37" s="1">
        <v>20</v>
      </c>
      <c r="M37" s="1">
        <v>195</v>
      </c>
      <c r="N37" s="1">
        <v>20</v>
      </c>
      <c r="O37" s="1">
        <v>20</v>
      </c>
      <c r="P37" s="1">
        <v>20</v>
      </c>
      <c r="Q37" s="1">
        <v>20</v>
      </c>
      <c r="R37" s="8">
        <v>3701</v>
      </c>
      <c r="S37" s="1">
        <v>8</v>
      </c>
      <c r="U37" s="1">
        <v>900</v>
      </c>
      <c r="V37" s="8">
        <v>3702</v>
      </c>
      <c r="W37" s="1" t="s">
        <v>55</v>
      </c>
      <c r="X37" s="1">
        <v>1</v>
      </c>
      <c r="Y37" s="1">
        <f t="shared" si="3"/>
        <v>1</v>
      </c>
      <c r="Z37" s="1" t="str">
        <f t="shared" si="2"/>
        <v/>
      </c>
    </row>
    <row r="38" spans="3:26">
      <c r="C38" s="1">
        <v>504</v>
      </c>
      <c r="D38" s="1" t="s">
        <v>80</v>
      </c>
      <c r="E38" s="1">
        <v>5</v>
      </c>
      <c r="F38" s="1">
        <v>3</v>
      </c>
      <c r="G38" s="1" t="s">
        <v>53</v>
      </c>
      <c r="H38" s="1">
        <v>75000</v>
      </c>
      <c r="I38" s="1">
        <v>10</v>
      </c>
      <c r="J38" s="1">
        <v>10</v>
      </c>
      <c r="K38" s="1">
        <v>20</v>
      </c>
      <c r="L38" s="1">
        <v>20</v>
      </c>
      <c r="M38" s="1">
        <v>205</v>
      </c>
      <c r="N38" s="1">
        <v>20</v>
      </c>
      <c r="O38" s="1">
        <v>20</v>
      </c>
      <c r="P38" s="1">
        <v>20</v>
      </c>
      <c r="Q38" s="1">
        <v>20</v>
      </c>
      <c r="R38" s="8">
        <v>3701</v>
      </c>
      <c r="S38" s="1">
        <v>10</v>
      </c>
      <c r="U38" s="1">
        <v>1000</v>
      </c>
      <c r="V38" s="8">
        <v>3701</v>
      </c>
      <c r="W38" s="1" t="s">
        <v>49</v>
      </c>
      <c r="X38" s="1">
        <v>50</v>
      </c>
      <c r="Y38" s="1">
        <f t="shared" si="3"/>
        <v>50</v>
      </c>
      <c r="Z38" s="1" t="str">
        <f t="shared" si="2"/>
        <v/>
      </c>
    </row>
    <row r="39" spans="3:26">
      <c r="C39" s="1">
        <v>505</v>
      </c>
      <c r="D39" s="1" t="s">
        <v>81</v>
      </c>
      <c r="E39" s="1">
        <v>5</v>
      </c>
      <c r="F39" s="1">
        <v>4</v>
      </c>
      <c r="G39" s="1" t="s">
        <v>51</v>
      </c>
      <c r="H39" s="1">
        <v>80000</v>
      </c>
      <c r="I39" s="1">
        <v>20</v>
      </c>
      <c r="J39" s="1">
        <v>20</v>
      </c>
      <c r="K39" s="1">
        <v>20</v>
      </c>
      <c r="L39" s="1">
        <v>20</v>
      </c>
      <c r="M39" s="1">
        <v>205</v>
      </c>
      <c r="N39" s="1">
        <v>30</v>
      </c>
      <c r="O39" s="1">
        <v>30</v>
      </c>
      <c r="P39" s="1">
        <v>20</v>
      </c>
      <c r="Q39" s="1">
        <v>20</v>
      </c>
      <c r="R39" s="8">
        <v>3701</v>
      </c>
      <c r="S39" s="1">
        <v>10</v>
      </c>
      <c r="U39" s="1">
        <v>1000</v>
      </c>
      <c r="V39" s="8">
        <v>3701</v>
      </c>
      <c r="W39" s="1" t="s">
        <v>49</v>
      </c>
      <c r="X39" s="1">
        <v>50</v>
      </c>
      <c r="Y39" s="1">
        <f t="shared" si="3"/>
        <v>50</v>
      </c>
      <c r="Z39" s="1" t="str">
        <f t="shared" si="2"/>
        <v/>
      </c>
    </row>
    <row r="40" spans="3:26">
      <c r="C40" s="1">
        <v>506</v>
      </c>
      <c r="D40" s="1" t="s">
        <v>82</v>
      </c>
      <c r="E40" s="1">
        <v>5</v>
      </c>
      <c r="F40" s="1">
        <v>5</v>
      </c>
      <c r="G40" s="1" t="s">
        <v>53</v>
      </c>
      <c r="H40" s="1">
        <v>85000</v>
      </c>
      <c r="I40" s="1">
        <v>20</v>
      </c>
      <c r="J40" s="1">
        <v>20</v>
      </c>
      <c r="K40" s="1">
        <v>20</v>
      </c>
      <c r="L40" s="1">
        <v>20</v>
      </c>
      <c r="M40" s="1">
        <v>205</v>
      </c>
      <c r="N40" s="1">
        <v>30</v>
      </c>
      <c r="O40" s="1">
        <v>30</v>
      </c>
      <c r="P40" s="1">
        <v>20</v>
      </c>
      <c r="Q40" s="1">
        <v>20</v>
      </c>
      <c r="R40" s="8">
        <v>3701</v>
      </c>
      <c r="S40" s="1">
        <v>10</v>
      </c>
      <c r="U40" s="1">
        <v>1000</v>
      </c>
      <c r="V40" s="8">
        <v>3702</v>
      </c>
      <c r="W40" s="1" t="s">
        <v>55</v>
      </c>
      <c r="X40" s="1">
        <v>1</v>
      </c>
      <c r="Y40" s="1">
        <f t="shared" si="3"/>
        <v>1</v>
      </c>
      <c r="Z40" s="1" t="str">
        <f t="shared" si="2"/>
        <v/>
      </c>
    </row>
    <row r="41" spans="3:26">
      <c r="C41" s="1">
        <v>507</v>
      </c>
      <c r="D41" s="1" t="s">
        <v>83</v>
      </c>
      <c r="E41" s="1">
        <v>5</v>
      </c>
      <c r="F41" s="1">
        <v>6</v>
      </c>
      <c r="G41" s="1" t="s">
        <v>51</v>
      </c>
      <c r="H41" s="1">
        <v>90000</v>
      </c>
      <c r="I41" s="1">
        <v>20</v>
      </c>
      <c r="J41" s="1">
        <v>20</v>
      </c>
      <c r="K41" s="1">
        <v>20</v>
      </c>
      <c r="L41" s="1">
        <v>20</v>
      </c>
      <c r="M41" s="1">
        <v>220</v>
      </c>
      <c r="N41" s="1">
        <v>30</v>
      </c>
      <c r="O41" s="1">
        <v>30</v>
      </c>
      <c r="P41" s="1">
        <v>20</v>
      </c>
      <c r="Q41" s="1">
        <v>20</v>
      </c>
      <c r="R41" s="8">
        <v>3701</v>
      </c>
      <c r="S41" s="1">
        <v>15</v>
      </c>
      <c r="U41" s="1">
        <v>1150</v>
      </c>
      <c r="V41" s="8">
        <v>3701</v>
      </c>
      <c r="W41" s="1" t="s">
        <v>49</v>
      </c>
      <c r="X41" s="1">
        <v>75</v>
      </c>
      <c r="Y41" s="1">
        <f t="shared" si="3"/>
        <v>75</v>
      </c>
      <c r="Z41" s="1" t="str">
        <f t="shared" si="2"/>
        <v/>
      </c>
    </row>
    <row r="42" spans="3:26">
      <c r="C42" s="1">
        <v>508</v>
      </c>
      <c r="D42" s="1" t="s">
        <v>84</v>
      </c>
      <c r="E42" s="1">
        <v>5</v>
      </c>
      <c r="F42" s="1">
        <v>7</v>
      </c>
      <c r="G42" s="1" t="s">
        <v>53</v>
      </c>
      <c r="H42" s="1">
        <v>95000</v>
      </c>
      <c r="I42" s="1">
        <v>20</v>
      </c>
      <c r="J42" s="1">
        <v>20</v>
      </c>
      <c r="K42" s="1">
        <v>20</v>
      </c>
      <c r="L42" s="1">
        <v>20</v>
      </c>
      <c r="M42" s="1">
        <v>220</v>
      </c>
      <c r="N42" s="1">
        <v>30</v>
      </c>
      <c r="O42" s="1">
        <v>30</v>
      </c>
      <c r="P42" s="1">
        <v>20</v>
      </c>
      <c r="Q42" s="1">
        <v>20</v>
      </c>
      <c r="R42" s="8">
        <v>3701</v>
      </c>
      <c r="S42" s="1">
        <v>15</v>
      </c>
      <c r="U42" s="1">
        <v>1150</v>
      </c>
      <c r="V42" s="8">
        <v>3701</v>
      </c>
      <c r="W42" s="1" t="s">
        <v>49</v>
      </c>
      <c r="X42" s="1">
        <v>75</v>
      </c>
      <c r="Y42" s="1">
        <f t="shared" si="3"/>
        <v>75</v>
      </c>
      <c r="Z42" s="1" t="str">
        <f t="shared" si="2"/>
        <v/>
      </c>
    </row>
    <row r="43" spans="3:26">
      <c r="C43" s="1">
        <v>509</v>
      </c>
      <c r="D43" s="1" t="s">
        <v>85</v>
      </c>
      <c r="E43" s="1">
        <v>5</v>
      </c>
      <c r="F43" s="1">
        <v>8</v>
      </c>
      <c r="G43" s="1" t="s">
        <v>51</v>
      </c>
      <c r="H43" s="1">
        <v>176000</v>
      </c>
      <c r="I43" s="1">
        <v>30</v>
      </c>
      <c r="J43" s="1">
        <v>30</v>
      </c>
      <c r="K43" s="1">
        <v>30</v>
      </c>
      <c r="L43" s="1">
        <v>30</v>
      </c>
      <c r="M43" s="1">
        <v>230</v>
      </c>
      <c r="N43" s="1">
        <v>40</v>
      </c>
      <c r="O43" s="1">
        <v>40</v>
      </c>
      <c r="P43" s="1">
        <v>30</v>
      </c>
      <c r="Q43" s="1">
        <v>30</v>
      </c>
      <c r="R43" s="8">
        <v>3701</v>
      </c>
      <c r="S43" s="1">
        <v>15</v>
      </c>
      <c r="U43" s="1">
        <v>1300</v>
      </c>
      <c r="V43" s="8">
        <v>3702</v>
      </c>
      <c r="W43" s="1" t="s">
        <v>55</v>
      </c>
      <c r="X43" s="1">
        <v>2</v>
      </c>
      <c r="Y43" s="1">
        <f t="shared" si="3"/>
        <v>2</v>
      </c>
      <c r="Z43" s="1" t="str">
        <f t="shared" si="2"/>
        <v/>
      </c>
    </row>
    <row r="44" spans="25:26">
      <c r="Y44" s="1">
        <f t="shared" si="3"/>
        <v>0</v>
      </c>
      <c r="Z44" s="1" t="str">
        <f t="shared" si="2"/>
        <v/>
      </c>
    </row>
    <row r="45" spans="3:26">
      <c r="C45" s="1">
        <v>601</v>
      </c>
      <c r="D45" s="1" t="s">
        <v>86</v>
      </c>
      <c r="E45" s="1">
        <v>6</v>
      </c>
      <c r="F45" s="1">
        <v>0</v>
      </c>
      <c r="G45" s="1" t="s">
        <v>51</v>
      </c>
      <c r="H45" s="1">
        <v>80000</v>
      </c>
      <c r="I45" s="1">
        <v>10</v>
      </c>
      <c r="J45" s="1">
        <v>10</v>
      </c>
      <c r="K45" s="1">
        <v>10</v>
      </c>
      <c r="L45" s="1">
        <v>10</v>
      </c>
      <c r="M45" s="1">
        <v>220</v>
      </c>
      <c r="N45" s="1">
        <v>10</v>
      </c>
      <c r="O45" s="1">
        <v>10</v>
      </c>
      <c r="P45" s="1">
        <v>10</v>
      </c>
      <c r="Q45" s="1">
        <v>10</v>
      </c>
      <c r="R45" s="8">
        <v>3701</v>
      </c>
      <c r="S45" s="1">
        <v>10</v>
      </c>
      <c r="U45" s="1">
        <v>950</v>
      </c>
      <c r="V45" s="8">
        <v>3701</v>
      </c>
      <c r="W45" s="1" t="s">
        <v>49</v>
      </c>
      <c r="X45" s="1">
        <v>50</v>
      </c>
      <c r="Y45" s="1">
        <f t="shared" si="3"/>
        <v>50</v>
      </c>
      <c r="Z45" s="1" t="str">
        <f t="shared" si="2"/>
        <v/>
      </c>
    </row>
    <row r="46" spans="3:26">
      <c r="C46" s="1">
        <v>602</v>
      </c>
      <c r="D46" s="1" t="s">
        <v>87</v>
      </c>
      <c r="E46" s="1">
        <v>6</v>
      </c>
      <c r="F46" s="1">
        <v>1</v>
      </c>
      <c r="G46" s="1" t="s">
        <v>53</v>
      </c>
      <c r="H46" s="1">
        <v>85000</v>
      </c>
      <c r="I46" s="1">
        <v>10</v>
      </c>
      <c r="J46" s="1">
        <v>10</v>
      </c>
      <c r="K46" s="1">
        <v>10</v>
      </c>
      <c r="L46" s="1">
        <v>10</v>
      </c>
      <c r="M46" s="1">
        <v>220</v>
      </c>
      <c r="N46" s="1">
        <v>20</v>
      </c>
      <c r="O46" s="1">
        <v>20</v>
      </c>
      <c r="P46" s="1">
        <v>10</v>
      </c>
      <c r="Q46" s="1">
        <v>10</v>
      </c>
      <c r="R46" s="8">
        <v>3701</v>
      </c>
      <c r="S46" s="1">
        <v>10</v>
      </c>
      <c r="U46" s="1">
        <v>950</v>
      </c>
      <c r="V46" s="8">
        <v>3701</v>
      </c>
      <c r="W46" s="1" t="s">
        <v>49</v>
      </c>
      <c r="X46" s="1">
        <v>50</v>
      </c>
      <c r="Y46" s="1">
        <f t="shared" si="3"/>
        <v>50</v>
      </c>
      <c r="Z46" s="1" t="str">
        <f t="shared" si="2"/>
        <v/>
      </c>
    </row>
    <row r="47" spans="3:26">
      <c r="C47" s="1">
        <v>603</v>
      </c>
      <c r="D47" s="1" t="s">
        <v>88</v>
      </c>
      <c r="E47" s="1">
        <v>6</v>
      </c>
      <c r="F47" s="1">
        <v>2</v>
      </c>
      <c r="G47" s="1" t="s">
        <v>51</v>
      </c>
      <c r="H47" s="1">
        <v>90000</v>
      </c>
      <c r="I47" s="1">
        <v>10</v>
      </c>
      <c r="J47" s="1">
        <v>10</v>
      </c>
      <c r="K47" s="1">
        <v>10</v>
      </c>
      <c r="L47" s="1">
        <v>10</v>
      </c>
      <c r="M47" s="1">
        <v>220</v>
      </c>
      <c r="N47" s="1">
        <v>20</v>
      </c>
      <c r="O47" s="1">
        <v>20</v>
      </c>
      <c r="P47" s="1">
        <v>10</v>
      </c>
      <c r="Q47" s="1">
        <v>10</v>
      </c>
      <c r="R47" s="8">
        <v>3701</v>
      </c>
      <c r="S47" s="1">
        <v>10</v>
      </c>
      <c r="U47" s="1">
        <v>950</v>
      </c>
      <c r="V47" s="8">
        <v>3702</v>
      </c>
      <c r="W47" s="1" t="s">
        <v>55</v>
      </c>
      <c r="X47" s="1">
        <v>1</v>
      </c>
      <c r="Y47" s="1">
        <f t="shared" si="3"/>
        <v>1</v>
      </c>
      <c r="Z47" s="1" t="str">
        <f t="shared" ref="Z47:Z78" si="4">IF(Y47=X47,"","11111")</f>
        <v/>
      </c>
    </row>
    <row r="48" spans="3:26">
      <c r="C48" s="1">
        <v>604</v>
      </c>
      <c r="D48" s="1" t="s">
        <v>89</v>
      </c>
      <c r="E48" s="1">
        <v>6</v>
      </c>
      <c r="F48" s="1">
        <v>3</v>
      </c>
      <c r="G48" s="1" t="s">
        <v>53</v>
      </c>
      <c r="H48" s="1">
        <v>95000</v>
      </c>
      <c r="I48" s="1">
        <v>10</v>
      </c>
      <c r="J48" s="1">
        <v>10</v>
      </c>
      <c r="K48" s="1">
        <v>10</v>
      </c>
      <c r="L48" s="1">
        <v>10</v>
      </c>
      <c r="M48" s="1">
        <v>235</v>
      </c>
      <c r="N48" s="1">
        <v>10</v>
      </c>
      <c r="O48" s="1">
        <v>10</v>
      </c>
      <c r="P48" s="1">
        <v>10</v>
      </c>
      <c r="Q48" s="1">
        <v>10</v>
      </c>
      <c r="R48" s="8">
        <v>3701</v>
      </c>
      <c r="S48" s="1">
        <v>15</v>
      </c>
      <c r="U48" s="1">
        <v>1100</v>
      </c>
      <c r="V48" s="8">
        <v>3701</v>
      </c>
      <c r="W48" s="1" t="s">
        <v>49</v>
      </c>
      <c r="X48" s="1">
        <v>75</v>
      </c>
      <c r="Y48" s="1">
        <f t="shared" si="3"/>
        <v>75</v>
      </c>
      <c r="Z48" s="1" t="str">
        <f t="shared" si="4"/>
        <v/>
      </c>
    </row>
    <row r="49" spans="3:26">
      <c r="C49" s="1">
        <v>605</v>
      </c>
      <c r="D49" s="1" t="s">
        <v>90</v>
      </c>
      <c r="E49" s="1">
        <v>6</v>
      </c>
      <c r="F49" s="1">
        <v>4</v>
      </c>
      <c r="G49" s="1" t="s">
        <v>51</v>
      </c>
      <c r="H49" s="1">
        <v>100000</v>
      </c>
      <c r="I49" s="1">
        <v>20</v>
      </c>
      <c r="J49" s="1">
        <v>20</v>
      </c>
      <c r="K49" s="1">
        <v>10</v>
      </c>
      <c r="L49" s="1">
        <v>10</v>
      </c>
      <c r="M49" s="1">
        <v>235</v>
      </c>
      <c r="N49" s="1">
        <v>20</v>
      </c>
      <c r="O49" s="1">
        <v>20</v>
      </c>
      <c r="P49" s="1">
        <v>10</v>
      </c>
      <c r="Q49" s="1">
        <v>10</v>
      </c>
      <c r="R49" s="8">
        <v>3701</v>
      </c>
      <c r="S49" s="1">
        <v>15</v>
      </c>
      <c r="U49" s="1">
        <v>1100</v>
      </c>
      <c r="V49" s="8">
        <v>3701</v>
      </c>
      <c r="W49" s="1" t="s">
        <v>49</v>
      </c>
      <c r="X49" s="1">
        <v>75</v>
      </c>
      <c r="Y49" s="1">
        <f t="shared" si="3"/>
        <v>75</v>
      </c>
      <c r="Z49" s="1" t="str">
        <f t="shared" si="4"/>
        <v/>
      </c>
    </row>
    <row r="50" spans="3:26">
      <c r="C50" s="1">
        <v>606</v>
      </c>
      <c r="D50" s="1" t="s">
        <v>91</v>
      </c>
      <c r="E50" s="1">
        <v>6</v>
      </c>
      <c r="F50" s="1">
        <v>5</v>
      </c>
      <c r="G50" s="1" t="s">
        <v>53</v>
      </c>
      <c r="H50" s="1">
        <v>105000</v>
      </c>
      <c r="I50" s="1">
        <v>20</v>
      </c>
      <c r="J50" s="1">
        <v>20</v>
      </c>
      <c r="K50" s="1">
        <v>10</v>
      </c>
      <c r="L50" s="1">
        <v>10</v>
      </c>
      <c r="M50" s="1">
        <v>235</v>
      </c>
      <c r="N50" s="1">
        <v>20</v>
      </c>
      <c r="O50" s="1">
        <v>20</v>
      </c>
      <c r="P50" s="1">
        <v>10</v>
      </c>
      <c r="Q50" s="1">
        <v>10</v>
      </c>
      <c r="R50" s="8">
        <v>3701</v>
      </c>
      <c r="S50" s="1">
        <v>15</v>
      </c>
      <c r="U50" s="1">
        <v>1100</v>
      </c>
      <c r="V50" s="8">
        <v>3702</v>
      </c>
      <c r="W50" s="1" t="s">
        <v>55</v>
      </c>
      <c r="X50" s="1">
        <v>1</v>
      </c>
      <c r="Y50" s="1">
        <f t="shared" si="3"/>
        <v>1</v>
      </c>
      <c r="Z50" s="1" t="str">
        <f t="shared" si="4"/>
        <v/>
      </c>
    </row>
    <row r="51" spans="3:26">
      <c r="C51" s="1">
        <v>607</v>
      </c>
      <c r="D51" s="1" t="s">
        <v>92</v>
      </c>
      <c r="E51" s="1">
        <v>6</v>
      </c>
      <c r="F51" s="1">
        <v>6</v>
      </c>
      <c r="G51" s="1" t="s">
        <v>51</v>
      </c>
      <c r="H51" s="1">
        <v>110000</v>
      </c>
      <c r="I51" s="1">
        <v>10</v>
      </c>
      <c r="J51" s="1">
        <v>10</v>
      </c>
      <c r="K51" s="1">
        <v>10</v>
      </c>
      <c r="L51" s="1">
        <v>10</v>
      </c>
      <c r="M51" s="1">
        <v>250</v>
      </c>
      <c r="N51" s="1">
        <v>20</v>
      </c>
      <c r="O51" s="1">
        <v>20</v>
      </c>
      <c r="P51" s="1">
        <v>10</v>
      </c>
      <c r="Q51" s="1">
        <v>10</v>
      </c>
      <c r="R51" s="8">
        <v>3701</v>
      </c>
      <c r="S51" s="1">
        <v>15</v>
      </c>
      <c r="U51" s="1">
        <v>1300</v>
      </c>
      <c r="V51" s="8">
        <v>3701</v>
      </c>
      <c r="W51" s="1" t="s">
        <v>49</v>
      </c>
      <c r="X51" s="1">
        <v>75</v>
      </c>
      <c r="Y51" s="1">
        <f t="shared" si="3"/>
        <v>75</v>
      </c>
      <c r="Z51" s="1" t="str">
        <f t="shared" si="4"/>
        <v/>
      </c>
    </row>
    <row r="52" spans="3:26">
      <c r="C52" s="1">
        <v>608</v>
      </c>
      <c r="D52" s="1" t="s">
        <v>93</v>
      </c>
      <c r="E52" s="1">
        <v>6</v>
      </c>
      <c r="F52" s="1">
        <v>7</v>
      </c>
      <c r="G52" s="1" t="s">
        <v>53</v>
      </c>
      <c r="H52" s="1">
        <v>115000</v>
      </c>
      <c r="I52" s="1">
        <v>20</v>
      </c>
      <c r="J52" s="1">
        <v>20</v>
      </c>
      <c r="K52" s="1">
        <v>20</v>
      </c>
      <c r="L52" s="1">
        <v>20</v>
      </c>
      <c r="M52" s="1">
        <v>250</v>
      </c>
      <c r="N52" s="1">
        <v>20</v>
      </c>
      <c r="O52" s="1">
        <v>20</v>
      </c>
      <c r="P52" s="1">
        <v>20</v>
      </c>
      <c r="Q52" s="1">
        <v>20</v>
      </c>
      <c r="R52" s="8">
        <v>3701</v>
      </c>
      <c r="S52" s="1">
        <v>15</v>
      </c>
      <c r="U52" s="1">
        <v>1300</v>
      </c>
      <c r="V52" s="8">
        <v>3701</v>
      </c>
      <c r="W52" s="1" t="s">
        <v>49</v>
      </c>
      <c r="X52" s="1">
        <v>75</v>
      </c>
      <c r="Y52" s="1">
        <f t="shared" si="3"/>
        <v>75</v>
      </c>
      <c r="Z52" s="1" t="str">
        <f t="shared" si="4"/>
        <v/>
      </c>
    </row>
    <row r="53" spans="3:26">
      <c r="C53" s="1">
        <v>609</v>
      </c>
      <c r="D53" s="1" t="s">
        <v>94</v>
      </c>
      <c r="E53" s="1">
        <v>6</v>
      </c>
      <c r="F53" s="1">
        <v>8</v>
      </c>
      <c r="G53" s="1" t="s">
        <v>51</v>
      </c>
      <c r="H53" s="1">
        <v>120000</v>
      </c>
      <c r="I53" s="1">
        <v>20</v>
      </c>
      <c r="J53" s="1">
        <v>20</v>
      </c>
      <c r="K53" s="1">
        <v>20</v>
      </c>
      <c r="L53" s="1">
        <v>20</v>
      </c>
      <c r="M53" s="1">
        <v>250</v>
      </c>
      <c r="N53" s="1">
        <v>30</v>
      </c>
      <c r="O53" s="1">
        <v>30</v>
      </c>
      <c r="P53" s="1">
        <v>20</v>
      </c>
      <c r="Q53" s="1">
        <v>20</v>
      </c>
      <c r="R53" s="8">
        <v>3701</v>
      </c>
      <c r="S53" s="1">
        <v>15</v>
      </c>
      <c r="U53" s="1">
        <v>1300</v>
      </c>
      <c r="V53" s="8">
        <v>3702</v>
      </c>
      <c r="W53" s="1" t="s">
        <v>55</v>
      </c>
      <c r="X53" s="1">
        <v>2</v>
      </c>
      <c r="Y53" s="1">
        <f t="shared" si="3"/>
        <v>2</v>
      </c>
      <c r="Z53" s="1" t="str">
        <f t="shared" si="4"/>
        <v/>
      </c>
    </row>
    <row r="54" spans="3:26">
      <c r="C54" s="1">
        <v>610</v>
      </c>
      <c r="D54" s="1" t="s">
        <v>95</v>
      </c>
      <c r="E54" s="1">
        <v>6</v>
      </c>
      <c r="F54" s="1">
        <v>9</v>
      </c>
      <c r="G54" s="1" t="s">
        <v>53</v>
      </c>
      <c r="H54" s="1">
        <v>125000</v>
      </c>
      <c r="I54" s="1">
        <v>10</v>
      </c>
      <c r="J54" s="1">
        <v>10</v>
      </c>
      <c r="K54" s="1">
        <v>20</v>
      </c>
      <c r="L54" s="1">
        <v>20</v>
      </c>
      <c r="M54" s="1">
        <v>265</v>
      </c>
      <c r="N54" s="1">
        <v>20</v>
      </c>
      <c r="O54" s="1">
        <v>20</v>
      </c>
      <c r="P54" s="1">
        <v>20</v>
      </c>
      <c r="Q54" s="1">
        <v>20</v>
      </c>
      <c r="R54" s="8">
        <v>3701</v>
      </c>
      <c r="S54" s="1">
        <v>20</v>
      </c>
      <c r="U54" s="1">
        <v>1500</v>
      </c>
      <c r="V54" s="8">
        <v>3701</v>
      </c>
      <c r="W54" s="1" t="s">
        <v>49</v>
      </c>
      <c r="X54" s="1">
        <v>100</v>
      </c>
      <c r="Y54" s="1">
        <f t="shared" si="3"/>
        <v>100</v>
      </c>
      <c r="Z54" s="1" t="str">
        <f t="shared" si="4"/>
        <v/>
      </c>
    </row>
    <row r="55" spans="3:26">
      <c r="C55" s="1">
        <v>611</v>
      </c>
      <c r="D55" s="1" t="s">
        <v>96</v>
      </c>
      <c r="E55" s="1">
        <v>6</v>
      </c>
      <c r="F55" s="1">
        <v>10</v>
      </c>
      <c r="G55" s="1" t="s">
        <v>51</v>
      </c>
      <c r="H55" s="1">
        <v>130000</v>
      </c>
      <c r="I55" s="1">
        <v>20</v>
      </c>
      <c r="J55" s="1">
        <v>20</v>
      </c>
      <c r="K55" s="1">
        <v>20</v>
      </c>
      <c r="L55" s="1">
        <v>20</v>
      </c>
      <c r="M55" s="1">
        <v>265</v>
      </c>
      <c r="N55" s="1">
        <v>30</v>
      </c>
      <c r="O55" s="1">
        <v>30</v>
      </c>
      <c r="P55" s="1">
        <v>20</v>
      </c>
      <c r="Q55" s="1">
        <v>20</v>
      </c>
      <c r="R55" s="8">
        <v>3701</v>
      </c>
      <c r="S55" s="1">
        <v>20</v>
      </c>
      <c r="U55" s="1">
        <v>1500</v>
      </c>
      <c r="V55" s="8">
        <v>3701</v>
      </c>
      <c r="W55" s="1" t="s">
        <v>49</v>
      </c>
      <c r="X55" s="1">
        <v>100</v>
      </c>
      <c r="Y55" s="1">
        <f t="shared" si="3"/>
        <v>100</v>
      </c>
      <c r="Z55" s="1" t="str">
        <f t="shared" si="4"/>
        <v/>
      </c>
    </row>
    <row r="56" spans="3:26">
      <c r="C56" s="1">
        <v>612</v>
      </c>
      <c r="D56" s="1" t="s">
        <v>97</v>
      </c>
      <c r="E56" s="1">
        <v>6</v>
      </c>
      <c r="F56" s="1">
        <v>11</v>
      </c>
      <c r="G56" s="1" t="s">
        <v>53</v>
      </c>
      <c r="H56" s="1">
        <v>173000</v>
      </c>
      <c r="I56" s="1">
        <v>20</v>
      </c>
      <c r="J56" s="1">
        <v>20</v>
      </c>
      <c r="K56" s="1">
        <v>20</v>
      </c>
      <c r="L56" s="1">
        <v>20</v>
      </c>
      <c r="M56" s="1">
        <v>285</v>
      </c>
      <c r="N56" s="1">
        <v>30</v>
      </c>
      <c r="O56" s="1">
        <v>30</v>
      </c>
      <c r="P56" s="1">
        <v>20</v>
      </c>
      <c r="Q56" s="1">
        <v>20</v>
      </c>
      <c r="R56" s="8">
        <v>3701</v>
      </c>
      <c r="S56" s="1">
        <v>20</v>
      </c>
      <c r="U56" s="1">
        <v>1650</v>
      </c>
      <c r="V56" s="8">
        <v>3702</v>
      </c>
      <c r="W56" s="1" t="s">
        <v>55</v>
      </c>
      <c r="X56" s="1">
        <v>4</v>
      </c>
      <c r="Y56" s="1">
        <f t="shared" si="3"/>
        <v>4</v>
      </c>
      <c r="Z56" s="1" t="str">
        <f t="shared" si="4"/>
        <v/>
      </c>
    </row>
    <row r="57" spans="25:26">
      <c r="Y57" s="1">
        <f t="shared" si="3"/>
        <v>0</v>
      </c>
      <c r="Z57" s="1" t="str">
        <f t="shared" si="4"/>
        <v/>
      </c>
    </row>
    <row r="58" spans="3:26">
      <c r="C58" s="1">
        <v>701</v>
      </c>
      <c r="D58" s="1" t="s">
        <v>98</v>
      </c>
      <c r="E58" s="1">
        <v>7</v>
      </c>
      <c r="F58" s="1">
        <v>0</v>
      </c>
      <c r="G58" s="1" t="s">
        <v>51</v>
      </c>
      <c r="H58" s="1">
        <v>110000</v>
      </c>
      <c r="I58" s="1">
        <v>10</v>
      </c>
      <c r="J58" s="1">
        <v>10</v>
      </c>
      <c r="K58" s="1">
        <v>10</v>
      </c>
      <c r="L58" s="1">
        <v>10</v>
      </c>
      <c r="M58" s="1">
        <v>265</v>
      </c>
      <c r="N58" s="1">
        <v>10</v>
      </c>
      <c r="O58" s="1">
        <v>10</v>
      </c>
      <c r="P58" s="1">
        <v>10</v>
      </c>
      <c r="Q58" s="1">
        <v>10</v>
      </c>
      <c r="R58" s="8">
        <v>3701</v>
      </c>
      <c r="S58" s="1">
        <v>15</v>
      </c>
      <c r="U58" s="1">
        <v>1200</v>
      </c>
      <c r="V58" s="8">
        <v>3701</v>
      </c>
      <c r="W58" s="1" t="s">
        <v>49</v>
      </c>
      <c r="X58" s="1">
        <v>75</v>
      </c>
      <c r="Y58" s="1">
        <f t="shared" si="3"/>
        <v>75</v>
      </c>
      <c r="Z58" s="1" t="str">
        <f t="shared" si="4"/>
        <v/>
      </c>
    </row>
    <row r="59" spans="3:26">
      <c r="C59" s="1">
        <v>702</v>
      </c>
      <c r="D59" s="1" t="s">
        <v>99</v>
      </c>
      <c r="E59" s="1">
        <v>7</v>
      </c>
      <c r="F59" s="1">
        <v>1</v>
      </c>
      <c r="G59" s="1" t="s">
        <v>53</v>
      </c>
      <c r="H59" s="1">
        <v>115000</v>
      </c>
      <c r="I59" s="1">
        <v>10</v>
      </c>
      <c r="J59" s="1">
        <v>10</v>
      </c>
      <c r="K59" s="1">
        <v>10</v>
      </c>
      <c r="L59" s="1">
        <v>10</v>
      </c>
      <c r="M59" s="1">
        <v>265</v>
      </c>
      <c r="N59" s="1">
        <v>20</v>
      </c>
      <c r="O59" s="1">
        <v>20</v>
      </c>
      <c r="P59" s="1">
        <v>10</v>
      </c>
      <c r="Q59" s="1">
        <v>10</v>
      </c>
      <c r="R59" s="8">
        <v>3701</v>
      </c>
      <c r="S59" s="1">
        <v>15</v>
      </c>
      <c r="U59" s="1">
        <v>1200</v>
      </c>
      <c r="V59" s="8">
        <v>3701</v>
      </c>
      <c r="W59" s="1" t="s">
        <v>49</v>
      </c>
      <c r="X59" s="1">
        <v>75</v>
      </c>
      <c r="Y59" s="1">
        <f t="shared" si="3"/>
        <v>75</v>
      </c>
      <c r="Z59" s="1" t="str">
        <f t="shared" si="4"/>
        <v/>
      </c>
    </row>
    <row r="60" spans="3:26">
      <c r="C60" s="1">
        <v>703</v>
      </c>
      <c r="D60" s="1" t="s">
        <v>100</v>
      </c>
      <c r="E60" s="1">
        <v>7</v>
      </c>
      <c r="F60" s="1">
        <v>2</v>
      </c>
      <c r="G60" s="1" t="s">
        <v>51</v>
      </c>
      <c r="H60" s="1">
        <v>120000</v>
      </c>
      <c r="I60" s="1">
        <v>10</v>
      </c>
      <c r="J60" s="1">
        <v>10</v>
      </c>
      <c r="K60" s="1">
        <v>10</v>
      </c>
      <c r="L60" s="1">
        <v>10</v>
      </c>
      <c r="M60" s="1">
        <v>265</v>
      </c>
      <c r="N60" s="1">
        <v>20</v>
      </c>
      <c r="O60" s="1">
        <v>20</v>
      </c>
      <c r="P60" s="1">
        <v>10</v>
      </c>
      <c r="Q60" s="1">
        <v>10</v>
      </c>
      <c r="R60" s="8">
        <v>3701</v>
      </c>
      <c r="S60" s="1">
        <v>15</v>
      </c>
      <c r="U60" s="1">
        <v>1200</v>
      </c>
      <c r="V60" s="8">
        <v>3702</v>
      </c>
      <c r="W60" s="1" t="s">
        <v>55</v>
      </c>
      <c r="X60" s="1">
        <v>1</v>
      </c>
      <c r="Y60" s="1">
        <f t="shared" si="3"/>
        <v>1</v>
      </c>
      <c r="Z60" s="1" t="str">
        <f t="shared" si="4"/>
        <v/>
      </c>
    </row>
    <row r="61" spans="3:26">
      <c r="C61" s="1">
        <v>704</v>
      </c>
      <c r="D61" s="1" t="s">
        <v>101</v>
      </c>
      <c r="E61" s="1">
        <v>7</v>
      </c>
      <c r="F61" s="1">
        <v>3</v>
      </c>
      <c r="G61" s="1" t="s">
        <v>53</v>
      </c>
      <c r="H61" s="1">
        <v>125000</v>
      </c>
      <c r="I61" s="1">
        <v>10</v>
      </c>
      <c r="J61" s="1">
        <v>10</v>
      </c>
      <c r="K61" s="1">
        <v>10</v>
      </c>
      <c r="L61" s="1">
        <v>10</v>
      </c>
      <c r="M61" s="1">
        <v>280</v>
      </c>
      <c r="N61" s="1">
        <v>10</v>
      </c>
      <c r="O61" s="1">
        <v>10</v>
      </c>
      <c r="P61" s="1">
        <v>10</v>
      </c>
      <c r="Q61" s="1">
        <v>10</v>
      </c>
      <c r="R61" s="8">
        <v>3701</v>
      </c>
      <c r="S61" s="1">
        <v>20</v>
      </c>
      <c r="U61" s="1">
        <v>1350</v>
      </c>
      <c r="V61" s="8">
        <v>3701</v>
      </c>
      <c r="W61" s="1" t="s">
        <v>49</v>
      </c>
      <c r="X61" s="1">
        <v>100</v>
      </c>
      <c r="Y61" s="1">
        <f t="shared" si="3"/>
        <v>100</v>
      </c>
      <c r="Z61" s="1" t="str">
        <f t="shared" si="4"/>
        <v/>
      </c>
    </row>
    <row r="62" spans="3:26">
      <c r="C62" s="1">
        <v>705</v>
      </c>
      <c r="D62" s="1" t="s">
        <v>102</v>
      </c>
      <c r="E62" s="1">
        <v>7</v>
      </c>
      <c r="F62" s="1">
        <v>4</v>
      </c>
      <c r="G62" s="1" t="s">
        <v>51</v>
      </c>
      <c r="H62" s="1">
        <v>130000</v>
      </c>
      <c r="I62" s="1">
        <v>20</v>
      </c>
      <c r="J62" s="1">
        <v>20</v>
      </c>
      <c r="K62" s="1">
        <v>10</v>
      </c>
      <c r="L62" s="1">
        <v>10</v>
      </c>
      <c r="M62" s="1">
        <v>280</v>
      </c>
      <c r="N62" s="1">
        <v>20</v>
      </c>
      <c r="O62" s="1">
        <v>20</v>
      </c>
      <c r="P62" s="1">
        <v>10</v>
      </c>
      <c r="Q62" s="1">
        <v>10</v>
      </c>
      <c r="R62" s="8">
        <v>3701</v>
      </c>
      <c r="S62" s="1">
        <v>20</v>
      </c>
      <c r="U62" s="1">
        <v>1350</v>
      </c>
      <c r="V62" s="8">
        <v>3701</v>
      </c>
      <c r="W62" s="1" t="s">
        <v>49</v>
      </c>
      <c r="X62" s="1">
        <v>100</v>
      </c>
      <c r="Y62" s="1">
        <f t="shared" si="3"/>
        <v>100</v>
      </c>
      <c r="Z62" s="1" t="str">
        <f t="shared" si="4"/>
        <v/>
      </c>
    </row>
    <row r="63" spans="3:26">
      <c r="C63" s="1">
        <v>706</v>
      </c>
      <c r="D63" s="1" t="s">
        <v>103</v>
      </c>
      <c r="E63" s="1">
        <v>7</v>
      </c>
      <c r="F63" s="1">
        <v>5</v>
      </c>
      <c r="G63" s="1" t="s">
        <v>53</v>
      </c>
      <c r="H63" s="1">
        <v>135000</v>
      </c>
      <c r="I63" s="1">
        <v>20</v>
      </c>
      <c r="J63" s="1">
        <v>20</v>
      </c>
      <c r="K63" s="1">
        <v>10</v>
      </c>
      <c r="L63" s="1">
        <v>10</v>
      </c>
      <c r="M63" s="1">
        <v>280</v>
      </c>
      <c r="N63" s="1">
        <v>20</v>
      </c>
      <c r="O63" s="1">
        <v>20</v>
      </c>
      <c r="P63" s="1">
        <v>10</v>
      </c>
      <c r="Q63" s="1">
        <v>10</v>
      </c>
      <c r="R63" s="8">
        <v>3701</v>
      </c>
      <c r="S63" s="1">
        <v>20</v>
      </c>
      <c r="U63" s="1">
        <v>1350</v>
      </c>
      <c r="V63" s="8">
        <v>3702</v>
      </c>
      <c r="W63" s="1" t="s">
        <v>55</v>
      </c>
      <c r="X63" s="1">
        <v>2</v>
      </c>
      <c r="Y63" s="1">
        <f t="shared" si="3"/>
        <v>2</v>
      </c>
      <c r="Z63" s="1" t="str">
        <f t="shared" si="4"/>
        <v/>
      </c>
    </row>
    <row r="64" spans="3:26">
      <c r="C64" s="1">
        <v>707</v>
      </c>
      <c r="D64" s="1" t="s">
        <v>104</v>
      </c>
      <c r="E64" s="1">
        <v>7</v>
      </c>
      <c r="F64" s="1">
        <v>6</v>
      </c>
      <c r="G64" s="1" t="s">
        <v>51</v>
      </c>
      <c r="H64" s="1">
        <v>140000</v>
      </c>
      <c r="I64" s="1">
        <v>10</v>
      </c>
      <c r="J64" s="1">
        <v>10</v>
      </c>
      <c r="K64" s="1">
        <v>10</v>
      </c>
      <c r="L64" s="1">
        <v>10</v>
      </c>
      <c r="M64" s="1">
        <v>295</v>
      </c>
      <c r="N64" s="1">
        <v>20</v>
      </c>
      <c r="O64" s="1">
        <v>20</v>
      </c>
      <c r="P64" s="1">
        <v>10</v>
      </c>
      <c r="Q64" s="1">
        <v>10</v>
      </c>
      <c r="R64" s="8">
        <v>3701</v>
      </c>
      <c r="S64" s="1">
        <v>20</v>
      </c>
      <c r="U64" s="1">
        <v>1500</v>
      </c>
      <c r="V64" s="8">
        <v>3701</v>
      </c>
      <c r="W64" s="1" t="s">
        <v>49</v>
      </c>
      <c r="X64" s="1">
        <v>100</v>
      </c>
      <c r="Y64" s="1">
        <f t="shared" si="3"/>
        <v>100</v>
      </c>
      <c r="Z64" s="1" t="str">
        <f t="shared" si="4"/>
        <v/>
      </c>
    </row>
    <row r="65" spans="3:26">
      <c r="C65" s="1">
        <v>708</v>
      </c>
      <c r="D65" s="1" t="s">
        <v>105</v>
      </c>
      <c r="E65" s="1">
        <v>7</v>
      </c>
      <c r="F65" s="1">
        <v>7</v>
      </c>
      <c r="G65" s="1" t="s">
        <v>53</v>
      </c>
      <c r="H65" s="1">
        <v>145000</v>
      </c>
      <c r="I65" s="1">
        <v>20</v>
      </c>
      <c r="J65" s="1">
        <v>20</v>
      </c>
      <c r="K65" s="1">
        <v>20</v>
      </c>
      <c r="L65" s="1">
        <v>20</v>
      </c>
      <c r="M65" s="1">
        <v>295</v>
      </c>
      <c r="N65" s="1">
        <v>20</v>
      </c>
      <c r="O65" s="1">
        <v>20</v>
      </c>
      <c r="P65" s="1">
        <v>20</v>
      </c>
      <c r="Q65" s="1">
        <v>20</v>
      </c>
      <c r="R65" s="8">
        <v>3701</v>
      </c>
      <c r="S65" s="1">
        <v>20</v>
      </c>
      <c r="U65" s="1">
        <v>1500</v>
      </c>
      <c r="V65" s="8">
        <v>3701</v>
      </c>
      <c r="W65" s="1" t="s">
        <v>49</v>
      </c>
      <c r="X65" s="1">
        <v>100</v>
      </c>
      <c r="Y65" s="1">
        <f t="shared" si="3"/>
        <v>100</v>
      </c>
      <c r="Z65" s="1" t="str">
        <f t="shared" si="4"/>
        <v/>
      </c>
    </row>
    <row r="66" spans="3:26">
      <c r="C66" s="1">
        <v>709</v>
      </c>
      <c r="D66" s="1" t="s">
        <v>106</v>
      </c>
      <c r="E66" s="1">
        <v>7</v>
      </c>
      <c r="F66" s="1">
        <v>8</v>
      </c>
      <c r="G66" s="1" t="s">
        <v>51</v>
      </c>
      <c r="H66" s="1">
        <v>150000</v>
      </c>
      <c r="I66" s="1">
        <v>20</v>
      </c>
      <c r="J66" s="1">
        <v>20</v>
      </c>
      <c r="K66" s="1">
        <v>20</v>
      </c>
      <c r="L66" s="1">
        <v>20</v>
      </c>
      <c r="M66" s="1">
        <v>295</v>
      </c>
      <c r="N66" s="1">
        <v>30</v>
      </c>
      <c r="O66" s="1">
        <v>30</v>
      </c>
      <c r="P66" s="1">
        <v>20</v>
      </c>
      <c r="Q66" s="1">
        <v>20</v>
      </c>
      <c r="R66" s="8">
        <v>3701</v>
      </c>
      <c r="S66" s="1">
        <v>20</v>
      </c>
      <c r="U66" s="1">
        <v>1500</v>
      </c>
      <c r="V66" s="8">
        <v>3702</v>
      </c>
      <c r="W66" s="1" t="s">
        <v>55</v>
      </c>
      <c r="X66" s="1">
        <v>3</v>
      </c>
      <c r="Y66" s="1">
        <f t="shared" si="3"/>
        <v>3</v>
      </c>
      <c r="Z66" s="1" t="str">
        <f t="shared" si="4"/>
        <v/>
      </c>
    </row>
    <row r="67" spans="3:26">
      <c r="C67" s="1">
        <v>710</v>
      </c>
      <c r="D67" s="1" t="s">
        <v>107</v>
      </c>
      <c r="E67" s="1">
        <v>7</v>
      </c>
      <c r="F67" s="1">
        <v>9</v>
      </c>
      <c r="G67" s="1" t="s">
        <v>53</v>
      </c>
      <c r="H67" s="1">
        <v>155000</v>
      </c>
      <c r="I67" s="1">
        <v>10</v>
      </c>
      <c r="J67" s="1">
        <v>10</v>
      </c>
      <c r="K67" s="1">
        <v>20</v>
      </c>
      <c r="L67" s="1">
        <v>20</v>
      </c>
      <c r="M67" s="1">
        <v>315</v>
      </c>
      <c r="N67" s="1">
        <v>20</v>
      </c>
      <c r="O67" s="1">
        <v>20</v>
      </c>
      <c r="P67" s="1">
        <v>20</v>
      </c>
      <c r="Q67" s="1">
        <v>20</v>
      </c>
      <c r="R67" s="8">
        <v>3701</v>
      </c>
      <c r="S67" s="1">
        <v>25</v>
      </c>
      <c r="U67" s="1">
        <v>1700</v>
      </c>
      <c r="V67" s="8">
        <v>3701</v>
      </c>
      <c r="W67" s="1" t="s">
        <v>49</v>
      </c>
      <c r="X67" s="1">
        <v>125</v>
      </c>
      <c r="Y67" s="1">
        <f t="shared" si="3"/>
        <v>125</v>
      </c>
      <c r="Z67" s="1" t="str">
        <f t="shared" si="4"/>
        <v/>
      </c>
    </row>
    <row r="68" spans="3:26">
      <c r="C68" s="1">
        <v>711</v>
      </c>
      <c r="D68" s="1" t="s">
        <v>108</v>
      </c>
      <c r="E68" s="1">
        <v>7</v>
      </c>
      <c r="F68" s="1">
        <v>10</v>
      </c>
      <c r="G68" s="1" t="s">
        <v>51</v>
      </c>
      <c r="H68" s="1">
        <v>160000</v>
      </c>
      <c r="I68" s="1">
        <v>20</v>
      </c>
      <c r="J68" s="1">
        <v>20</v>
      </c>
      <c r="K68" s="1">
        <v>20</v>
      </c>
      <c r="L68" s="1">
        <v>20</v>
      </c>
      <c r="M68" s="1">
        <v>315</v>
      </c>
      <c r="N68" s="1">
        <v>30</v>
      </c>
      <c r="O68" s="1">
        <v>30</v>
      </c>
      <c r="P68" s="1">
        <v>20</v>
      </c>
      <c r="Q68" s="1">
        <v>20</v>
      </c>
      <c r="R68" s="8">
        <v>3701</v>
      </c>
      <c r="S68" s="1">
        <v>25</v>
      </c>
      <c r="U68" s="1">
        <v>1700</v>
      </c>
      <c r="V68" s="8">
        <v>3701</v>
      </c>
      <c r="W68" s="1" t="s">
        <v>49</v>
      </c>
      <c r="X68" s="1">
        <v>125</v>
      </c>
      <c r="Y68" s="1">
        <f t="shared" si="3"/>
        <v>125</v>
      </c>
      <c r="Z68" s="1" t="str">
        <f t="shared" si="4"/>
        <v/>
      </c>
    </row>
    <row r="69" spans="3:26">
      <c r="C69" s="1">
        <v>712</v>
      </c>
      <c r="D69" s="1" t="s">
        <v>109</v>
      </c>
      <c r="E69" s="1">
        <v>7</v>
      </c>
      <c r="F69" s="1">
        <v>11</v>
      </c>
      <c r="G69" s="1" t="s">
        <v>53</v>
      </c>
      <c r="H69" s="1">
        <v>181000</v>
      </c>
      <c r="I69" s="1">
        <v>20</v>
      </c>
      <c r="J69" s="1">
        <v>20</v>
      </c>
      <c r="K69" s="1">
        <v>20</v>
      </c>
      <c r="L69" s="1">
        <v>20</v>
      </c>
      <c r="M69" s="1">
        <v>330</v>
      </c>
      <c r="N69" s="1">
        <v>30</v>
      </c>
      <c r="O69" s="1">
        <v>30</v>
      </c>
      <c r="P69" s="1">
        <v>20</v>
      </c>
      <c r="Q69" s="1">
        <v>20</v>
      </c>
      <c r="R69" s="8">
        <v>3701</v>
      </c>
      <c r="S69" s="1">
        <v>25</v>
      </c>
      <c r="U69" s="1">
        <v>1850</v>
      </c>
      <c r="V69" s="8">
        <v>3702</v>
      </c>
      <c r="W69" s="1" t="s">
        <v>55</v>
      </c>
      <c r="X69" s="1">
        <v>6</v>
      </c>
      <c r="Y69" s="1">
        <f t="shared" si="3"/>
        <v>6</v>
      </c>
      <c r="Z69" s="1" t="str">
        <f t="shared" si="4"/>
        <v/>
      </c>
    </row>
    <row r="70" spans="25:26">
      <c r="Y70" s="1">
        <f t="shared" si="3"/>
        <v>0</v>
      </c>
      <c r="Z70" s="1" t="str">
        <f t="shared" si="4"/>
        <v/>
      </c>
    </row>
    <row r="71" spans="3:26">
      <c r="C71" s="1">
        <v>801</v>
      </c>
      <c r="D71" s="1" t="s">
        <v>110</v>
      </c>
      <c r="E71" s="1">
        <v>8</v>
      </c>
      <c r="F71" s="1">
        <v>0</v>
      </c>
      <c r="G71" s="1" t="s">
        <v>51</v>
      </c>
      <c r="H71" s="1">
        <v>170000</v>
      </c>
      <c r="I71" s="1">
        <v>10</v>
      </c>
      <c r="J71" s="1">
        <v>10</v>
      </c>
      <c r="K71" s="1">
        <v>10</v>
      </c>
      <c r="L71" s="1">
        <v>10</v>
      </c>
      <c r="M71" s="1">
        <v>250</v>
      </c>
      <c r="N71" s="1">
        <v>10</v>
      </c>
      <c r="O71" s="1">
        <v>10</v>
      </c>
      <c r="P71" s="1">
        <v>10</v>
      </c>
      <c r="Q71" s="1">
        <v>10</v>
      </c>
      <c r="R71" s="8">
        <v>3701</v>
      </c>
      <c r="S71" s="1">
        <v>20</v>
      </c>
      <c r="U71" s="1">
        <v>1250</v>
      </c>
      <c r="V71" s="8">
        <v>3701</v>
      </c>
      <c r="W71" s="1" t="s">
        <v>49</v>
      </c>
      <c r="X71" s="1">
        <v>100</v>
      </c>
      <c r="Y71" s="1">
        <f t="shared" si="3"/>
        <v>100</v>
      </c>
      <c r="Z71" s="1" t="str">
        <f t="shared" si="4"/>
        <v/>
      </c>
    </row>
    <row r="72" spans="3:26">
      <c r="C72" s="1">
        <v>802</v>
      </c>
      <c r="D72" s="1" t="s">
        <v>111</v>
      </c>
      <c r="E72" s="1">
        <v>8</v>
      </c>
      <c r="F72" s="1">
        <v>1</v>
      </c>
      <c r="G72" s="1" t="s">
        <v>53</v>
      </c>
      <c r="H72" s="1">
        <v>175000</v>
      </c>
      <c r="I72" s="1">
        <v>10</v>
      </c>
      <c r="J72" s="1">
        <v>10</v>
      </c>
      <c r="K72" s="1">
        <v>10</v>
      </c>
      <c r="L72" s="1">
        <v>10</v>
      </c>
      <c r="M72" s="1">
        <v>250</v>
      </c>
      <c r="N72" s="1">
        <v>20</v>
      </c>
      <c r="O72" s="1">
        <v>20</v>
      </c>
      <c r="P72" s="1">
        <v>10</v>
      </c>
      <c r="Q72" s="1">
        <v>10</v>
      </c>
      <c r="R72" s="8">
        <v>3701</v>
      </c>
      <c r="S72" s="1">
        <v>20</v>
      </c>
      <c r="U72" s="1">
        <v>1250</v>
      </c>
      <c r="V72" s="8">
        <v>3701</v>
      </c>
      <c r="W72" s="1" t="s">
        <v>49</v>
      </c>
      <c r="X72" s="1">
        <v>100</v>
      </c>
      <c r="Y72" s="1">
        <f t="shared" si="3"/>
        <v>100</v>
      </c>
      <c r="Z72" s="1" t="str">
        <f t="shared" si="4"/>
        <v/>
      </c>
    </row>
    <row r="73" spans="3:26">
      <c r="C73" s="1">
        <v>803</v>
      </c>
      <c r="D73" s="1" t="s">
        <v>112</v>
      </c>
      <c r="E73" s="1">
        <v>8</v>
      </c>
      <c r="F73" s="1">
        <v>2</v>
      </c>
      <c r="G73" s="1" t="s">
        <v>51</v>
      </c>
      <c r="H73" s="1">
        <v>180000</v>
      </c>
      <c r="I73" s="1">
        <v>10</v>
      </c>
      <c r="J73" s="1">
        <v>10</v>
      </c>
      <c r="K73" s="1">
        <v>10</v>
      </c>
      <c r="L73" s="1">
        <v>10</v>
      </c>
      <c r="M73" s="1">
        <v>250</v>
      </c>
      <c r="N73" s="1">
        <v>20</v>
      </c>
      <c r="O73" s="1">
        <v>20</v>
      </c>
      <c r="P73" s="1">
        <v>10</v>
      </c>
      <c r="Q73" s="1">
        <v>10</v>
      </c>
      <c r="R73" s="8">
        <v>3701</v>
      </c>
      <c r="S73" s="1">
        <v>20</v>
      </c>
      <c r="U73" s="1">
        <v>1250</v>
      </c>
      <c r="V73" s="8">
        <v>3702</v>
      </c>
      <c r="W73" s="1" t="s">
        <v>55</v>
      </c>
      <c r="X73" s="1">
        <v>1</v>
      </c>
      <c r="Y73" s="1">
        <f t="shared" si="3"/>
        <v>1</v>
      </c>
      <c r="Z73" s="1" t="str">
        <f t="shared" si="4"/>
        <v/>
      </c>
    </row>
    <row r="74" spans="3:26">
      <c r="C74" s="1">
        <v>804</v>
      </c>
      <c r="D74" s="1" t="s">
        <v>113</v>
      </c>
      <c r="E74" s="1">
        <v>8</v>
      </c>
      <c r="F74" s="1">
        <v>3</v>
      </c>
      <c r="G74" s="1" t="s">
        <v>53</v>
      </c>
      <c r="H74" s="1">
        <v>185000</v>
      </c>
      <c r="I74" s="1">
        <v>10</v>
      </c>
      <c r="J74" s="1">
        <v>10</v>
      </c>
      <c r="K74" s="1">
        <v>10</v>
      </c>
      <c r="L74" s="1">
        <v>10</v>
      </c>
      <c r="M74" s="1">
        <v>300</v>
      </c>
      <c r="N74" s="1">
        <v>10</v>
      </c>
      <c r="O74" s="1">
        <v>10</v>
      </c>
      <c r="P74" s="1">
        <v>10</v>
      </c>
      <c r="Q74" s="1">
        <v>10</v>
      </c>
      <c r="R74" s="8">
        <v>3701</v>
      </c>
      <c r="S74" s="1">
        <v>25</v>
      </c>
      <c r="U74" s="1">
        <v>1650</v>
      </c>
      <c r="V74" s="8">
        <v>3701</v>
      </c>
      <c r="W74" s="1" t="s">
        <v>49</v>
      </c>
      <c r="X74" s="1">
        <v>125</v>
      </c>
      <c r="Y74" s="1">
        <f t="shared" si="3"/>
        <v>125</v>
      </c>
      <c r="Z74" s="1" t="str">
        <f t="shared" si="4"/>
        <v/>
      </c>
    </row>
    <row r="75" spans="3:26">
      <c r="C75" s="1">
        <v>805</v>
      </c>
      <c r="D75" s="1" t="s">
        <v>114</v>
      </c>
      <c r="E75" s="1">
        <v>8</v>
      </c>
      <c r="F75" s="1">
        <v>4</v>
      </c>
      <c r="G75" s="1" t="s">
        <v>51</v>
      </c>
      <c r="H75" s="1">
        <v>190000</v>
      </c>
      <c r="I75" s="1">
        <v>10</v>
      </c>
      <c r="J75" s="1">
        <v>10</v>
      </c>
      <c r="K75" s="1">
        <v>10</v>
      </c>
      <c r="L75" s="1">
        <v>10</v>
      </c>
      <c r="M75" s="1">
        <v>300</v>
      </c>
      <c r="N75" s="1">
        <v>20</v>
      </c>
      <c r="O75" s="1">
        <v>20</v>
      </c>
      <c r="P75" s="1">
        <v>10</v>
      </c>
      <c r="Q75" s="1">
        <v>10</v>
      </c>
      <c r="R75" s="8">
        <v>3701</v>
      </c>
      <c r="S75" s="1">
        <v>25</v>
      </c>
      <c r="U75" s="1">
        <v>1650</v>
      </c>
      <c r="V75" s="8">
        <v>3701</v>
      </c>
      <c r="W75" s="1" t="s">
        <v>49</v>
      </c>
      <c r="X75" s="1">
        <v>125</v>
      </c>
      <c r="Y75" s="1">
        <f t="shared" si="3"/>
        <v>125</v>
      </c>
      <c r="Z75" s="1" t="str">
        <f t="shared" si="4"/>
        <v/>
      </c>
    </row>
    <row r="76" spans="3:26">
      <c r="C76" s="1">
        <v>806</v>
      </c>
      <c r="D76" s="1" t="s">
        <v>115</v>
      </c>
      <c r="E76" s="1">
        <v>8</v>
      </c>
      <c r="F76" s="1">
        <v>5</v>
      </c>
      <c r="G76" s="1" t="s">
        <v>53</v>
      </c>
      <c r="H76" s="1">
        <v>195000</v>
      </c>
      <c r="I76" s="1">
        <v>10</v>
      </c>
      <c r="J76" s="1">
        <v>10</v>
      </c>
      <c r="K76" s="1">
        <v>10</v>
      </c>
      <c r="L76" s="1">
        <v>10</v>
      </c>
      <c r="M76" s="1">
        <v>300</v>
      </c>
      <c r="N76" s="1">
        <v>20</v>
      </c>
      <c r="O76" s="1">
        <v>20</v>
      </c>
      <c r="P76" s="1">
        <v>10</v>
      </c>
      <c r="Q76" s="1">
        <v>10</v>
      </c>
      <c r="R76" s="8">
        <v>3701</v>
      </c>
      <c r="S76" s="1">
        <v>25</v>
      </c>
      <c r="U76" s="1">
        <v>1650</v>
      </c>
      <c r="V76" s="8">
        <v>3702</v>
      </c>
      <c r="W76" s="1" t="s">
        <v>55</v>
      </c>
      <c r="X76" s="1">
        <v>2</v>
      </c>
      <c r="Y76" s="1">
        <f t="shared" si="3"/>
        <v>2</v>
      </c>
      <c r="Z76" s="1" t="str">
        <f t="shared" si="4"/>
        <v/>
      </c>
    </row>
    <row r="77" spans="3:26">
      <c r="C77" s="1">
        <v>807</v>
      </c>
      <c r="D77" s="1" t="s">
        <v>116</v>
      </c>
      <c r="E77" s="1">
        <v>8</v>
      </c>
      <c r="F77" s="1">
        <v>6</v>
      </c>
      <c r="G77" s="1" t="s">
        <v>51</v>
      </c>
      <c r="H77" s="1">
        <v>200000</v>
      </c>
      <c r="I77" s="1">
        <v>10</v>
      </c>
      <c r="J77" s="1">
        <v>10</v>
      </c>
      <c r="K77" s="1">
        <v>10</v>
      </c>
      <c r="L77" s="1">
        <v>10</v>
      </c>
      <c r="M77" s="1">
        <v>400</v>
      </c>
      <c r="N77" s="1">
        <v>10</v>
      </c>
      <c r="O77" s="1">
        <v>10</v>
      </c>
      <c r="P77" s="1">
        <v>10</v>
      </c>
      <c r="Q77" s="1">
        <v>10</v>
      </c>
      <c r="R77" s="8">
        <v>3701</v>
      </c>
      <c r="S77" s="1">
        <v>30</v>
      </c>
      <c r="U77" s="1">
        <v>2050</v>
      </c>
      <c r="V77" s="8">
        <v>3701</v>
      </c>
      <c r="W77" s="1" t="s">
        <v>49</v>
      </c>
      <c r="X77" s="1">
        <v>150</v>
      </c>
      <c r="Y77" s="1">
        <f t="shared" si="3"/>
        <v>150</v>
      </c>
      <c r="Z77" s="1" t="str">
        <f t="shared" si="4"/>
        <v/>
      </c>
    </row>
    <row r="78" spans="3:26">
      <c r="C78" s="1">
        <v>808</v>
      </c>
      <c r="D78" s="1" t="s">
        <v>117</v>
      </c>
      <c r="E78" s="1">
        <v>8</v>
      </c>
      <c r="F78" s="1">
        <v>7</v>
      </c>
      <c r="G78" s="1" t="s">
        <v>53</v>
      </c>
      <c r="H78" s="1">
        <v>205000</v>
      </c>
      <c r="I78" s="1">
        <v>10</v>
      </c>
      <c r="J78" s="1">
        <v>10</v>
      </c>
      <c r="K78" s="1">
        <v>10</v>
      </c>
      <c r="L78" s="1">
        <v>10</v>
      </c>
      <c r="M78" s="1">
        <v>400</v>
      </c>
      <c r="N78" s="1">
        <v>20</v>
      </c>
      <c r="O78" s="1">
        <v>20</v>
      </c>
      <c r="P78" s="1">
        <v>10</v>
      </c>
      <c r="Q78" s="1">
        <v>10</v>
      </c>
      <c r="R78" s="8">
        <v>3701</v>
      </c>
      <c r="S78" s="1">
        <v>30</v>
      </c>
      <c r="U78" s="1">
        <v>2050</v>
      </c>
      <c r="V78" s="8">
        <v>3701</v>
      </c>
      <c r="W78" s="1" t="s">
        <v>49</v>
      </c>
      <c r="X78" s="1">
        <v>150</v>
      </c>
      <c r="Y78" s="1">
        <f t="shared" si="3"/>
        <v>150</v>
      </c>
      <c r="Z78" s="1" t="str">
        <f t="shared" si="4"/>
        <v/>
      </c>
    </row>
    <row r="79" spans="3:26">
      <c r="C79" s="1">
        <v>809</v>
      </c>
      <c r="D79" s="1" t="s">
        <v>118</v>
      </c>
      <c r="E79" s="1">
        <v>8</v>
      </c>
      <c r="F79" s="1">
        <v>8</v>
      </c>
      <c r="G79" s="1" t="s">
        <v>51</v>
      </c>
      <c r="H79" s="1">
        <v>210000</v>
      </c>
      <c r="I79" s="1">
        <v>10</v>
      </c>
      <c r="J79" s="1">
        <v>10</v>
      </c>
      <c r="K79" s="1">
        <v>10</v>
      </c>
      <c r="L79" s="1">
        <v>10</v>
      </c>
      <c r="M79" s="1">
        <v>400</v>
      </c>
      <c r="N79" s="1">
        <v>20</v>
      </c>
      <c r="O79" s="1">
        <v>20</v>
      </c>
      <c r="P79" s="1">
        <v>10</v>
      </c>
      <c r="Q79" s="1">
        <v>10</v>
      </c>
      <c r="R79" s="8">
        <v>3701</v>
      </c>
      <c r="S79" s="1">
        <v>30</v>
      </c>
      <c r="U79" s="1">
        <v>2050</v>
      </c>
      <c r="V79" s="8">
        <v>3702</v>
      </c>
      <c r="W79" s="1" t="s">
        <v>55</v>
      </c>
      <c r="X79" s="1">
        <v>4</v>
      </c>
      <c r="Y79" s="1">
        <f t="shared" si="3"/>
        <v>4</v>
      </c>
      <c r="Z79" s="1" t="str">
        <f t="shared" ref="Z79:Z110" si="5">IF(Y79=X79,"","11111")</f>
        <v/>
      </c>
    </row>
    <row r="80" spans="3:26">
      <c r="C80" s="1">
        <v>810</v>
      </c>
      <c r="D80" s="1" t="s">
        <v>119</v>
      </c>
      <c r="E80" s="1">
        <v>8</v>
      </c>
      <c r="F80" s="1">
        <v>9</v>
      </c>
      <c r="G80" s="1" t="s">
        <v>53</v>
      </c>
      <c r="H80" s="1">
        <v>215000</v>
      </c>
      <c r="I80" s="1">
        <v>10</v>
      </c>
      <c r="J80" s="1">
        <v>10</v>
      </c>
      <c r="K80" s="1">
        <v>10</v>
      </c>
      <c r="L80" s="1">
        <v>10</v>
      </c>
      <c r="M80" s="1">
        <v>500</v>
      </c>
      <c r="N80" s="1">
        <v>20</v>
      </c>
      <c r="O80" s="1">
        <v>20</v>
      </c>
      <c r="P80" s="1">
        <v>10</v>
      </c>
      <c r="Q80" s="1">
        <v>10</v>
      </c>
      <c r="R80" s="8">
        <v>3701</v>
      </c>
      <c r="S80" s="1">
        <v>40</v>
      </c>
      <c r="U80" s="1">
        <v>2500</v>
      </c>
      <c r="V80" s="8">
        <v>3701</v>
      </c>
      <c r="W80" s="1" t="s">
        <v>49</v>
      </c>
      <c r="X80" s="1">
        <v>200</v>
      </c>
      <c r="Y80" s="1">
        <f t="shared" si="3"/>
        <v>200</v>
      </c>
      <c r="Z80" s="1" t="str">
        <f t="shared" si="5"/>
        <v/>
      </c>
    </row>
    <row r="81" spans="3:26">
      <c r="C81" s="1">
        <v>811</v>
      </c>
      <c r="D81" s="1" t="s">
        <v>120</v>
      </c>
      <c r="E81" s="1">
        <v>8</v>
      </c>
      <c r="F81" s="1">
        <v>10</v>
      </c>
      <c r="G81" s="1" t="s">
        <v>51</v>
      </c>
      <c r="H81" s="1">
        <v>220000</v>
      </c>
      <c r="I81" s="1">
        <v>20</v>
      </c>
      <c r="J81" s="1">
        <v>20</v>
      </c>
      <c r="K81" s="1">
        <v>10</v>
      </c>
      <c r="L81" s="1">
        <v>10</v>
      </c>
      <c r="M81" s="1">
        <v>500</v>
      </c>
      <c r="N81" s="1">
        <v>20</v>
      </c>
      <c r="O81" s="1">
        <v>20</v>
      </c>
      <c r="P81" s="1">
        <v>10</v>
      </c>
      <c r="Q81" s="1">
        <v>10</v>
      </c>
      <c r="R81" s="8">
        <v>3701</v>
      </c>
      <c r="S81" s="1">
        <v>40</v>
      </c>
      <c r="U81" s="1">
        <v>2500</v>
      </c>
      <c r="V81" s="8">
        <v>3701</v>
      </c>
      <c r="W81" s="1" t="s">
        <v>49</v>
      </c>
      <c r="X81" s="1">
        <v>200</v>
      </c>
      <c r="Y81" s="1">
        <f t="shared" si="3"/>
        <v>200</v>
      </c>
      <c r="Z81" s="1" t="str">
        <f t="shared" si="5"/>
        <v/>
      </c>
    </row>
    <row r="82" spans="3:26">
      <c r="C82" s="1">
        <v>812</v>
      </c>
      <c r="D82" s="1" t="s">
        <v>121</v>
      </c>
      <c r="E82" s="1">
        <v>8</v>
      </c>
      <c r="F82" s="1">
        <v>11</v>
      </c>
      <c r="G82" s="1" t="s">
        <v>53</v>
      </c>
      <c r="H82" s="1">
        <v>225000</v>
      </c>
      <c r="I82" s="1">
        <v>20</v>
      </c>
      <c r="J82" s="1">
        <v>20</v>
      </c>
      <c r="K82" s="1">
        <v>10</v>
      </c>
      <c r="L82" s="1">
        <v>10</v>
      </c>
      <c r="M82" s="1">
        <v>500</v>
      </c>
      <c r="N82" s="1">
        <v>20</v>
      </c>
      <c r="O82" s="1">
        <v>20</v>
      </c>
      <c r="P82" s="1">
        <v>10</v>
      </c>
      <c r="Q82" s="1">
        <v>10</v>
      </c>
      <c r="R82" s="8">
        <v>3701</v>
      </c>
      <c r="S82" s="1">
        <v>40</v>
      </c>
      <c r="U82" s="1">
        <v>2500</v>
      </c>
      <c r="V82" s="8">
        <v>3702</v>
      </c>
      <c r="W82" s="1" t="s">
        <v>55</v>
      </c>
      <c r="X82" s="1">
        <v>8</v>
      </c>
      <c r="Y82" s="1">
        <f t="shared" si="3"/>
        <v>8</v>
      </c>
      <c r="Z82" s="1" t="str">
        <f t="shared" si="5"/>
        <v/>
      </c>
    </row>
    <row r="83" spans="3:26">
      <c r="C83" s="1">
        <v>813</v>
      </c>
      <c r="D83" s="1" t="s">
        <v>122</v>
      </c>
      <c r="E83" s="1">
        <v>8</v>
      </c>
      <c r="F83" s="1">
        <v>12</v>
      </c>
      <c r="G83" s="1" t="s">
        <v>51</v>
      </c>
      <c r="H83" s="1">
        <v>230000</v>
      </c>
      <c r="I83" s="1">
        <v>10</v>
      </c>
      <c r="J83" s="1">
        <v>10</v>
      </c>
      <c r="K83" s="1">
        <v>20</v>
      </c>
      <c r="L83" s="1">
        <v>20</v>
      </c>
      <c r="M83" s="1">
        <v>625</v>
      </c>
      <c r="N83" s="1">
        <v>20</v>
      </c>
      <c r="O83" s="1">
        <v>20</v>
      </c>
      <c r="P83" s="1">
        <v>20</v>
      </c>
      <c r="Q83" s="1">
        <v>20</v>
      </c>
      <c r="R83" s="8">
        <v>3701</v>
      </c>
      <c r="S83" s="1">
        <v>50</v>
      </c>
      <c r="U83" s="1">
        <v>2900</v>
      </c>
      <c r="V83" s="8">
        <v>3701</v>
      </c>
      <c r="W83" s="1" t="s">
        <v>49</v>
      </c>
      <c r="X83" s="1">
        <v>250</v>
      </c>
      <c r="Y83" s="1">
        <f t="shared" si="3"/>
        <v>250</v>
      </c>
      <c r="Z83" s="1" t="str">
        <f t="shared" si="5"/>
        <v/>
      </c>
    </row>
    <row r="84" spans="3:26">
      <c r="C84" s="1">
        <v>814</v>
      </c>
      <c r="D84" s="1" t="s">
        <v>123</v>
      </c>
      <c r="E84" s="1">
        <v>8</v>
      </c>
      <c r="F84" s="1">
        <v>13</v>
      </c>
      <c r="G84" s="1" t="s">
        <v>53</v>
      </c>
      <c r="H84" s="1">
        <v>235000</v>
      </c>
      <c r="I84" s="1">
        <v>20</v>
      </c>
      <c r="J84" s="1">
        <v>20</v>
      </c>
      <c r="K84" s="1">
        <v>20</v>
      </c>
      <c r="L84" s="1">
        <v>20</v>
      </c>
      <c r="M84" s="1">
        <v>625</v>
      </c>
      <c r="N84" s="1">
        <v>20</v>
      </c>
      <c r="O84" s="1">
        <v>20</v>
      </c>
      <c r="P84" s="1">
        <v>20</v>
      </c>
      <c r="Q84" s="1">
        <v>20</v>
      </c>
      <c r="R84" s="8">
        <v>3701</v>
      </c>
      <c r="S84" s="1">
        <v>50</v>
      </c>
      <c r="U84" s="1">
        <v>2900</v>
      </c>
      <c r="V84" s="8">
        <v>3701</v>
      </c>
      <c r="W84" s="1" t="s">
        <v>49</v>
      </c>
      <c r="X84" s="1">
        <v>250</v>
      </c>
      <c r="Y84" s="1">
        <f t="shared" si="3"/>
        <v>250</v>
      </c>
      <c r="Z84" s="1" t="str">
        <f t="shared" si="5"/>
        <v/>
      </c>
    </row>
    <row r="85" spans="3:26">
      <c r="C85" s="1">
        <v>815</v>
      </c>
      <c r="D85" s="1" t="s">
        <v>124</v>
      </c>
      <c r="E85" s="1">
        <v>8</v>
      </c>
      <c r="F85" s="1">
        <v>14</v>
      </c>
      <c r="G85" s="1" t="s">
        <v>51</v>
      </c>
      <c r="H85" s="1">
        <v>362000</v>
      </c>
      <c r="I85" s="1">
        <v>20</v>
      </c>
      <c r="J85" s="1">
        <v>20</v>
      </c>
      <c r="K85" s="1">
        <v>20</v>
      </c>
      <c r="L85" s="1">
        <v>20</v>
      </c>
      <c r="M85" s="1">
        <v>650</v>
      </c>
      <c r="N85" s="1">
        <v>30</v>
      </c>
      <c r="O85" s="1">
        <v>30</v>
      </c>
      <c r="P85" s="1">
        <v>20</v>
      </c>
      <c r="Q85" s="1">
        <v>20</v>
      </c>
      <c r="R85" s="8">
        <v>3701</v>
      </c>
      <c r="S85" s="1">
        <v>50</v>
      </c>
      <c r="U85" s="1">
        <v>2950</v>
      </c>
      <c r="V85" s="8">
        <v>3702</v>
      </c>
      <c r="W85" s="1" t="s">
        <v>55</v>
      </c>
      <c r="X85" s="1">
        <v>12</v>
      </c>
      <c r="Y85" s="1">
        <f t="shared" si="3"/>
        <v>12</v>
      </c>
      <c r="Z85" s="1" t="str">
        <f t="shared" si="5"/>
        <v/>
      </c>
    </row>
    <row r="86" spans="2:26">
      <c r="B86" s="5" t="s">
        <v>11</v>
      </c>
      <c r="C86" s="5" t="s">
        <v>125</v>
      </c>
      <c r="Y86" s="1">
        <f t="shared" si="3"/>
        <v>0</v>
      </c>
      <c r="Z86" s="1" t="str">
        <f t="shared" si="5"/>
        <v/>
      </c>
    </row>
    <row r="87" spans="3:26">
      <c r="C87" s="1">
        <v>8101</v>
      </c>
      <c r="D87" s="1" t="s">
        <v>110</v>
      </c>
      <c r="E87" s="1">
        <v>801</v>
      </c>
      <c r="F87" s="1">
        <v>0</v>
      </c>
      <c r="G87" s="1" t="s">
        <v>51</v>
      </c>
      <c r="H87" s="1">
        <v>340000</v>
      </c>
      <c r="I87" s="1">
        <v>10</v>
      </c>
      <c r="J87" s="1">
        <v>10</v>
      </c>
      <c r="K87" s="1">
        <v>10</v>
      </c>
      <c r="L87" s="1">
        <v>10</v>
      </c>
      <c r="M87" s="1">
        <v>500</v>
      </c>
      <c r="N87" s="1">
        <v>10</v>
      </c>
      <c r="O87" s="1">
        <v>10</v>
      </c>
      <c r="P87" s="1">
        <v>10</v>
      </c>
      <c r="Q87" s="1">
        <v>10</v>
      </c>
      <c r="R87" s="8">
        <v>3701</v>
      </c>
      <c r="S87" s="1">
        <v>60</v>
      </c>
      <c r="U87" s="1">
        <v>2500</v>
      </c>
      <c r="V87" s="8">
        <v>3701</v>
      </c>
      <c r="W87" s="1" t="s">
        <v>49</v>
      </c>
      <c r="X87" s="1">
        <v>300</v>
      </c>
      <c r="Y87" s="1">
        <f t="shared" ref="Y87:Y150" si="6">IF(W87="功法点",S87*5,X87)</f>
        <v>300</v>
      </c>
      <c r="Z87" s="1" t="str">
        <f t="shared" si="5"/>
        <v/>
      </c>
    </row>
    <row r="88" spans="3:26">
      <c r="C88" s="1">
        <v>8102</v>
      </c>
      <c r="D88" s="1" t="s">
        <v>111</v>
      </c>
      <c r="E88" s="1">
        <v>801</v>
      </c>
      <c r="F88" s="1">
        <v>1</v>
      </c>
      <c r="G88" s="1" t="s">
        <v>53</v>
      </c>
      <c r="H88" s="1">
        <v>350000</v>
      </c>
      <c r="I88" s="1">
        <v>10</v>
      </c>
      <c r="J88" s="1">
        <v>10</v>
      </c>
      <c r="K88" s="1">
        <v>10</v>
      </c>
      <c r="L88" s="1">
        <v>10</v>
      </c>
      <c r="M88" s="1">
        <v>500</v>
      </c>
      <c r="N88" s="1">
        <v>20</v>
      </c>
      <c r="O88" s="1">
        <v>20</v>
      </c>
      <c r="P88" s="1">
        <v>10</v>
      </c>
      <c r="Q88" s="1">
        <v>10</v>
      </c>
      <c r="R88" s="8">
        <v>3701</v>
      </c>
      <c r="S88" s="1">
        <v>60</v>
      </c>
      <c r="U88" s="1">
        <v>2500</v>
      </c>
      <c r="V88" s="8">
        <v>3701</v>
      </c>
      <c r="W88" s="1" t="s">
        <v>49</v>
      </c>
      <c r="X88" s="1">
        <v>300</v>
      </c>
      <c r="Y88" s="1">
        <f t="shared" si="6"/>
        <v>300</v>
      </c>
      <c r="Z88" s="1" t="str">
        <f t="shared" si="5"/>
        <v/>
      </c>
    </row>
    <row r="89" spans="3:26">
      <c r="C89" s="1">
        <v>8103</v>
      </c>
      <c r="D89" s="1" t="s">
        <v>112</v>
      </c>
      <c r="E89" s="1">
        <v>801</v>
      </c>
      <c r="F89" s="1">
        <v>2</v>
      </c>
      <c r="G89" s="1" t="s">
        <v>51</v>
      </c>
      <c r="H89" s="1">
        <v>360000</v>
      </c>
      <c r="I89" s="1">
        <v>10</v>
      </c>
      <c r="J89" s="1">
        <v>10</v>
      </c>
      <c r="K89" s="1">
        <v>10</v>
      </c>
      <c r="L89" s="1">
        <v>10</v>
      </c>
      <c r="M89" s="1">
        <v>500</v>
      </c>
      <c r="N89" s="1">
        <v>20</v>
      </c>
      <c r="O89" s="1">
        <v>20</v>
      </c>
      <c r="P89" s="1">
        <v>10</v>
      </c>
      <c r="Q89" s="1">
        <v>10</v>
      </c>
      <c r="R89" s="8">
        <v>3701</v>
      </c>
      <c r="S89" s="1">
        <v>60</v>
      </c>
      <c r="U89" s="1">
        <v>2500</v>
      </c>
      <c r="V89" s="8">
        <v>3702</v>
      </c>
      <c r="W89" s="1" t="s">
        <v>55</v>
      </c>
      <c r="X89" s="1">
        <v>3</v>
      </c>
      <c r="Y89" s="1">
        <f t="shared" si="6"/>
        <v>3</v>
      </c>
      <c r="Z89" s="1" t="str">
        <f t="shared" si="5"/>
        <v/>
      </c>
    </row>
    <row r="90" spans="3:26">
      <c r="C90" s="1">
        <v>8104</v>
      </c>
      <c r="D90" s="1" t="s">
        <v>113</v>
      </c>
      <c r="E90" s="1">
        <v>801</v>
      </c>
      <c r="F90" s="1">
        <v>3</v>
      </c>
      <c r="G90" s="1" t="s">
        <v>53</v>
      </c>
      <c r="H90" s="1">
        <v>370000</v>
      </c>
      <c r="I90" s="1">
        <v>10</v>
      </c>
      <c r="J90" s="1">
        <v>10</v>
      </c>
      <c r="K90" s="1">
        <v>10</v>
      </c>
      <c r="L90" s="1">
        <v>10</v>
      </c>
      <c r="M90" s="1">
        <v>600</v>
      </c>
      <c r="N90" s="1">
        <v>10</v>
      </c>
      <c r="O90" s="1">
        <v>10</v>
      </c>
      <c r="P90" s="1">
        <v>10</v>
      </c>
      <c r="Q90" s="1">
        <v>10</v>
      </c>
      <c r="R90" s="8">
        <v>3701</v>
      </c>
      <c r="S90" s="1">
        <v>75</v>
      </c>
      <c r="U90" s="1">
        <v>3300</v>
      </c>
      <c r="V90" s="8">
        <v>3701</v>
      </c>
      <c r="W90" s="1" t="s">
        <v>49</v>
      </c>
      <c r="X90" s="1">
        <v>375</v>
      </c>
      <c r="Y90" s="1">
        <f t="shared" si="6"/>
        <v>375</v>
      </c>
      <c r="Z90" s="1" t="str">
        <f t="shared" si="5"/>
        <v/>
      </c>
    </row>
    <row r="91" spans="3:26">
      <c r="C91" s="1">
        <v>8105</v>
      </c>
      <c r="D91" s="1" t="s">
        <v>114</v>
      </c>
      <c r="E91" s="1">
        <v>801</v>
      </c>
      <c r="F91" s="1">
        <v>4</v>
      </c>
      <c r="G91" s="1" t="s">
        <v>51</v>
      </c>
      <c r="H91" s="1">
        <v>380000</v>
      </c>
      <c r="I91" s="1">
        <v>10</v>
      </c>
      <c r="J91" s="1">
        <v>10</v>
      </c>
      <c r="K91" s="1">
        <v>10</v>
      </c>
      <c r="L91" s="1">
        <v>10</v>
      </c>
      <c r="M91" s="1">
        <v>600</v>
      </c>
      <c r="N91" s="1">
        <v>20</v>
      </c>
      <c r="O91" s="1">
        <v>20</v>
      </c>
      <c r="P91" s="1">
        <v>10</v>
      </c>
      <c r="Q91" s="1">
        <v>10</v>
      </c>
      <c r="R91" s="8">
        <v>3701</v>
      </c>
      <c r="S91" s="1">
        <v>75</v>
      </c>
      <c r="U91" s="1">
        <v>3300</v>
      </c>
      <c r="V91" s="8">
        <v>3701</v>
      </c>
      <c r="W91" s="1" t="s">
        <v>49</v>
      </c>
      <c r="X91" s="1">
        <v>375</v>
      </c>
      <c r="Y91" s="1">
        <f t="shared" si="6"/>
        <v>375</v>
      </c>
      <c r="Z91" s="1" t="str">
        <f t="shared" si="5"/>
        <v/>
      </c>
    </row>
    <row r="92" spans="3:26">
      <c r="C92" s="1">
        <v>8106</v>
      </c>
      <c r="D92" s="1" t="s">
        <v>115</v>
      </c>
      <c r="E92" s="1">
        <v>801</v>
      </c>
      <c r="F92" s="1">
        <v>5</v>
      </c>
      <c r="G92" s="1" t="s">
        <v>53</v>
      </c>
      <c r="H92" s="1">
        <v>390000</v>
      </c>
      <c r="I92" s="1">
        <v>10</v>
      </c>
      <c r="J92" s="1">
        <v>10</v>
      </c>
      <c r="K92" s="1">
        <v>10</v>
      </c>
      <c r="L92" s="1">
        <v>10</v>
      </c>
      <c r="M92" s="1">
        <v>600</v>
      </c>
      <c r="N92" s="1">
        <v>20</v>
      </c>
      <c r="O92" s="1">
        <v>20</v>
      </c>
      <c r="P92" s="1">
        <v>10</v>
      </c>
      <c r="Q92" s="1">
        <v>10</v>
      </c>
      <c r="R92" s="8">
        <v>3701</v>
      </c>
      <c r="S92" s="1">
        <v>75</v>
      </c>
      <c r="U92" s="1">
        <v>3300</v>
      </c>
      <c r="V92" s="8">
        <v>3702</v>
      </c>
      <c r="W92" s="1" t="s">
        <v>55</v>
      </c>
      <c r="X92" s="1">
        <v>6</v>
      </c>
      <c r="Y92" s="1">
        <f t="shared" si="6"/>
        <v>6</v>
      </c>
      <c r="Z92" s="1" t="str">
        <f t="shared" si="5"/>
        <v/>
      </c>
    </row>
    <row r="93" spans="3:26">
      <c r="C93" s="1">
        <v>8107</v>
      </c>
      <c r="D93" s="1" t="s">
        <v>116</v>
      </c>
      <c r="E93" s="1">
        <v>801</v>
      </c>
      <c r="F93" s="1">
        <v>6</v>
      </c>
      <c r="G93" s="1" t="s">
        <v>51</v>
      </c>
      <c r="H93" s="1">
        <v>400000</v>
      </c>
      <c r="I93" s="1">
        <v>10</v>
      </c>
      <c r="J93" s="1">
        <v>10</v>
      </c>
      <c r="K93" s="1">
        <v>10</v>
      </c>
      <c r="L93" s="1">
        <v>10</v>
      </c>
      <c r="M93" s="1">
        <v>800</v>
      </c>
      <c r="N93" s="1">
        <v>10</v>
      </c>
      <c r="O93" s="1">
        <v>10</v>
      </c>
      <c r="P93" s="1">
        <v>10</v>
      </c>
      <c r="Q93" s="1">
        <v>10</v>
      </c>
      <c r="R93" s="8">
        <v>3701</v>
      </c>
      <c r="S93" s="1">
        <v>90</v>
      </c>
      <c r="U93" s="1">
        <v>4100</v>
      </c>
      <c r="V93" s="8">
        <v>3701</v>
      </c>
      <c r="W93" s="1" t="s">
        <v>49</v>
      </c>
      <c r="X93" s="1">
        <v>450</v>
      </c>
      <c r="Y93" s="1">
        <f t="shared" si="6"/>
        <v>450</v>
      </c>
      <c r="Z93" s="1" t="str">
        <f t="shared" si="5"/>
        <v/>
      </c>
    </row>
    <row r="94" spans="3:26">
      <c r="C94" s="1">
        <v>8108</v>
      </c>
      <c r="D94" s="1" t="s">
        <v>117</v>
      </c>
      <c r="E94" s="1">
        <v>801</v>
      </c>
      <c r="F94" s="1">
        <v>7</v>
      </c>
      <c r="G94" s="1" t="s">
        <v>53</v>
      </c>
      <c r="H94" s="1">
        <v>410000</v>
      </c>
      <c r="I94" s="1">
        <v>10</v>
      </c>
      <c r="J94" s="1">
        <v>10</v>
      </c>
      <c r="K94" s="1">
        <v>10</v>
      </c>
      <c r="L94" s="1">
        <v>10</v>
      </c>
      <c r="M94" s="1">
        <v>800</v>
      </c>
      <c r="N94" s="1">
        <v>20</v>
      </c>
      <c r="O94" s="1">
        <v>20</v>
      </c>
      <c r="P94" s="1">
        <v>10</v>
      </c>
      <c r="Q94" s="1">
        <v>10</v>
      </c>
      <c r="R94" s="8">
        <v>3701</v>
      </c>
      <c r="S94" s="1">
        <v>90</v>
      </c>
      <c r="U94" s="1">
        <v>4100</v>
      </c>
      <c r="V94" s="8">
        <v>3701</v>
      </c>
      <c r="W94" s="1" t="s">
        <v>49</v>
      </c>
      <c r="X94" s="1">
        <v>450</v>
      </c>
      <c r="Y94" s="1">
        <f t="shared" si="6"/>
        <v>450</v>
      </c>
      <c r="Z94" s="1" t="str">
        <f t="shared" si="5"/>
        <v/>
      </c>
    </row>
    <row r="95" spans="3:26">
      <c r="C95" s="1">
        <v>8109</v>
      </c>
      <c r="D95" s="1" t="s">
        <v>118</v>
      </c>
      <c r="E95" s="1">
        <v>801</v>
      </c>
      <c r="F95" s="1">
        <v>8</v>
      </c>
      <c r="G95" s="1" t="s">
        <v>51</v>
      </c>
      <c r="H95" s="1">
        <v>420000</v>
      </c>
      <c r="I95" s="1">
        <v>10</v>
      </c>
      <c r="J95" s="1">
        <v>10</v>
      </c>
      <c r="K95" s="1">
        <v>10</v>
      </c>
      <c r="L95" s="1">
        <v>10</v>
      </c>
      <c r="M95" s="1">
        <v>800</v>
      </c>
      <c r="N95" s="1">
        <v>20</v>
      </c>
      <c r="O95" s="1">
        <v>20</v>
      </c>
      <c r="P95" s="1">
        <v>10</v>
      </c>
      <c r="Q95" s="1">
        <v>10</v>
      </c>
      <c r="R95" s="8">
        <v>3701</v>
      </c>
      <c r="S95" s="1">
        <v>90</v>
      </c>
      <c r="U95" s="1">
        <v>4100</v>
      </c>
      <c r="V95" s="8">
        <v>3702</v>
      </c>
      <c r="W95" s="1" t="s">
        <v>55</v>
      </c>
      <c r="X95" s="1">
        <v>12</v>
      </c>
      <c r="Y95" s="1">
        <f t="shared" si="6"/>
        <v>12</v>
      </c>
      <c r="Z95" s="1" t="str">
        <f t="shared" si="5"/>
        <v/>
      </c>
    </row>
    <row r="96" spans="3:26">
      <c r="C96" s="1">
        <v>8110</v>
      </c>
      <c r="D96" s="1" t="s">
        <v>119</v>
      </c>
      <c r="E96" s="1">
        <v>801</v>
      </c>
      <c r="F96" s="1">
        <v>9</v>
      </c>
      <c r="G96" s="1" t="s">
        <v>53</v>
      </c>
      <c r="H96" s="1">
        <v>430000</v>
      </c>
      <c r="I96" s="1">
        <v>10</v>
      </c>
      <c r="J96" s="1">
        <v>10</v>
      </c>
      <c r="K96" s="1">
        <v>10</v>
      </c>
      <c r="L96" s="1">
        <v>10</v>
      </c>
      <c r="M96" s="1">
        <v>1000</v>
      </c>
      <c r="N96" s="1">
        <v>20</v>
      </c>
      <c r="O96" s="1">
        <v>20</v>
      </c>
      <c r="P96" s="1">
        <v>10</v>
      </c>
      <c r="Q96" s="1">
        <v>10</v>
      </c>
      <c r="R96" s="8">
        <v>3701</v>
      </c>
      <c r="S96" s="1">
        <v>120</v>
      </c>
      <c r="U96" s="1">
        <v>5000</v>
      </c>
      <c r="V96" s="8">
        <v>3701</v>
      </c>
      <c r="W96" s="1" t="s">
        <v>49</v>
      </c>
      <c r="X96" s="1">
        <v>600</v>
      </c>
      <c r="Y96" s="1">
        <f t="shared" si="6"/>
        <v>600</v>
      </c>
      <c r="Z96" s="1" t="str">
        <f t="shared" si="5"/>
        <v/>
      </c>
    </row>
    <row r="97" spans="3:26">
      <c r="C97" s="1">
        <v>8111</v>
      </c>
      <c r="D97" s="1" t="s">
        <v>120</v>
      </c>
      <c r="E97" s="1">
        <v>801</v>
      </c>
      <c r="F97" s="1">
        <v>10</v>
      </c>
      <c r="G97" s="1" t="s">
        <v>51</v>
      </c>
      <c r="H97" s="1">
        <v>440000</v>
      </c>
      <c r="I97" s="1">
        <v>20</v>
      </c>
      <c r="J97" s="1">
        <v>20</v>
      </c>
      <c r="K97" s="1">
        <v>10</v>
      </c>
      <c r="L97" s="1">
        <v>10</v>
      </c>
      <c r="M97" s="1">
        <v>1000</v>
      </c>
      <c r="N97" s="1">
        <v>20</v>
      </c>
      <c r="O97" s="1">
        <v>20</v>
      </c>
      <c r="P97" s="1">
        <v>10</v>
      </c>
      <c r="Q97" s="1">
        <v>10</v>
      </c>
      <c r="R97" s="8">
        <v>3701</v>
      </c>
      <c r="S97" s="1">
        <v>120</v>
      </c>
      <c r="U97" s="1">
        <v>5000</v>
      </c>
      <c r="V97" s="8">
        <v>3701</v>
      </c>
      <c r="W97" s="1" t="s">
        <v>49</v>
      </c>
      <c r="X97" s="1">
        <v>600</v>
      </c>
      <c r="Y97" s="1">
        <f t="shared" si="6"/>
        <v>600</v>
      </c>
      <c r="Z97" s="1" t="str">
        <f t="shared" si="5"/>
        <v/>
      </c>
    </row>
    <row r="98" spans="3:26">
      <c r="C98" s="1">
        <v>8112</v>
      </c>
      <c r="D98" s="1" t="s">
        <v>121</v>
      </c>
      <c r="E98" s="1">
        <v>801</v>
      </c>
      <c r="F98" s="1">
        <v>11</v>
      </c>
      <c r="G98" s="1" t="s">
        <v>53</v>
      </c>
      <c r="H98" s="1">
        <v>450000</v>
      </c>
      <c r="I98" s="1">
        <v>20</v>
      </c>
      <c r="J98" s="1">
        <v>20</v>
      </c>
      <c r="K98" s="1">
        <v>10</v>
      </c>
      <c r="L98" s="1">
        <v>10</v>
      </c>
      <c r="M98" s="1">
        <v>1000</v>
      </c>
      <c r="N98" s="1">
        <v>20</v>
      </c>
      <c r="O98" s="1">
        <v>20</v>
      </c>
      <c r="P98" s="1">
        <v>10</v>
      </c>
      <c r="Q98" s="1">
        <v>10</v>
      </c>
      <c r="R98" s="8">
        <v>3701</v>
      </c>
      <c r="S98" s="1">
        <v>120</v>
      </c>
      <c r="U98" s="1">
        <v>5000</v>
      </c>
      <c r="V98" s="8">
        <v>3702</v>
      </c>
      <c r="W98" s="1" t="s">
        <v>55</v>
      </c>
      <c r="X98" s="1">
        <v>24</v>
      </c>
      <c r="Y98" s="1">
        <f t="shared" si="6"/>
        <v>24</v>
      </c>
      <c r="Z98" s="1" t="str">
        <f t="shared" si="5"/>
        <v/>
      </c>
    </row>
    <row r="99" spans="3:26">
      <c r="C99" s="1">
        <v>8113</v>
      </c>
      <c r="D99" s="1" t="s">
        <v>122</v>
      </c>
      <c r="E99" s="1">
        <v>801</v>
      </c>
      <c r="F99" s="1">
        <v>12</v>
      </c>
      <c r="G99" s="1" t="s">
        <v>51</v>
      </c>
      <c r="H99" s="1">
        <v>460000</v>
      </c>
      <c r="I99" s="1">
        <v>10</v>
      </c>
      <c r="J99" s="1">
        <v>10</v>
      </c>
      <c r="K99" s="1">
        <v>20</v>
      </c>
      <c r="L99" s="1">
        <v>20</v>
      </c>
      <c r="M99" s="1">
        <v>1250</v>
      </c>
      <c r="N99" s="1">
        <v>20</v>
      </c>
      <c r="O99" s="1">
        <v>20</v>
      </c>
      <c r="P99" s="1">
        <v>20</v>
      </c>
      <c r="Q99" s="1">
        <v>20</v>
      </c>
      <c r="R99" s="8">
        <v>3701</v>
      </c>
      <c r="S99" s="1">
        <v>150</v>
      </c>
      <c r="U99" s="1">
        <v>5800</v>
      </c>
      <c r="V99" s="8">
        <v>3701</v>
      </c>
      <c r="W99" s="1" t="s">
        <v>49</v>
      </c>
      <c r="X99" s="1">
        <v>750</v>
      </c>
      <c r="Y99" s="1">
        <f t="shared" si="6"/>
        <v>750</v>
      </c>
      <c r="Z99" s="1" t="str">
        <f t="shared" si="5"/>
        <v/>
      </c>
    </row>
    <row r="100" spans="3:26">
      <c r="C100" s="1">
        <v>8114</v>
      </c>
      <c r="D100" s="1" t="s">
        <v>123</v>
      </c>
      <c r="E100" s="1">
        <v>801</v>
      </c>
      <c r="F100" s="1">
        <v>13</v>
      </c>
      <c r="G100" s="1" t="s">
        <v>53</v>
      </c>
      <c r="H100" s="1">
        <v>470000</v>
      </c>
      <c r="I100" s="1">
        <v>20</v>
      </c>
      <c r="J100" s="1">
        <v>20</v>
      </c>
      <c r="K100" s="1">
        <v>20</v>
      </c>
      <c r="L100" s="1">
        <v>20</v>
      </c>
      <c r="M100" s="1">
        <v>1250</v>
      </c>
      <c r="N100" s="1">
        <v>20</v>
      </c>
      <c r="O100" s="1">
        <v>20</v>
      </c>
      <c r="P100" s="1">
        <v>20</v>
      </c>
      <c r="Q100" s="1">
        <v>20</v>
      </c>
      <c r="R100" s="8">
        <v>3701</v>
      </c>
      <c r="S100" s="1">
        <v>150</v>
      </c>
      <c r="U100" s="1">
        <v>5800</v>
      </c>
      <c r="V100" s="8">
        <v>3701</v>
      </c>
      <c r="W100" s="1" t="s">
        <v>49</v>
      </c>
      <c r="X100" s="1">
        <v>750</v>
      </c>
      <c r="Y100" s="1">
        <f t="shared" si="6"/>
        <v>750</v>
      </c>
      <c r="Z100" s="1" t="str">
        <f t="shared" si="5"/>
        <v/>
      </c>
    </row>
    <row r="101" spans="3:26">
      <c r="C101" s="1">
        <v>8115</v>
      </c>
      <c r="D101" s="1" t="s">
        <v>124</v>
      </c>
      <c r="E101" s="1">
        <v>801</v>
      </c>
      <c r="F101" s="1">
        <v>14</v>
      </c>
      <c r="G101" s="1" t="s">
        <v>51</v>
      </c>
      <c r="H101" s="1">
        <v>724000</v>
      </c>
      <c r="I101" s="1">
        <v>20</v>
      </c>
      <c r="J101" s="1">
        <v>20</v>
      </c>
      <c r="K101" s="1">
        <v>20</v>
      </c>
      <c r="L101" s="1">
        <v>20</v>
      </c>
      <c r="M101" s="1">
        <v>1300</v>
      </c>
      <c r="N101" s="1">
        <v>30</v>
      </c>
      <c r="O101" s="1">
        <v>30</v>
      </c>
      <c r="P101" s="1">
        <v>20</v>
      </c>
      <c r="Q101" s="1">
        <v>20</v>
      </c>
      <c r="R101" s="8">
        <v>3701</v>
      </c>
      <c r="S101" s="1">
        <v>150</v>
      </c>
      <c r="U101" s="1">
        <v>5900</v>
      </c>
      <c r="V101" s="8">
        <v>3702</v>
      </c>
      <c r="W101" s="1" t="s">
        <v>55</v>
      </c>
      <c r="X101" s="1">
        <v>36</v>
      </c>
      <c r="Y101" s="1">
        <f t="shared" si="6"/>
        <v>36</v>
      </c>
      <c r="Z101" s="1" t="str">
        <f t="shared" si="5"/>
        <v/>
      </c>
    </row>
    <row r="102" spans="18:26">
      <c r="R102" s="8"/>
      <c r="V102" s="8"/>
      <c r="Y102" s="1">
        <f t="shared" si="6"/>
        <v>0</v>
      </c>
      <c r="Z102" s="1" t="str">
        <f t="shared" si="5"/>
        <v/>
      </c>
    </row>
    <row r="103" spans="3:26">
      <c r="C103" s="1">
        <v>901</v>
      </c>
      <c r="D103" s="1" t="s">
        <v>126</v>
      </c>
      <c r="E103" s="1">
        <v>9</v>
      </c>
      <c r="F103" s="1">
        <v>0</v>
      </c>
      <c r="G103" s="1" t="s">
        <v>51</v>
      </c>
      <c r="H103" s="1">
        <v>255000</v>
      </c>
      <c r="I103" s="1">
        <v>10</v>
      </c>
      <c r="J103" s="1">
        <v>10</v>
      </c>
      <c r="K103" s="1">
        <v>10</v>
      </c>
      <c r="L103" s="1">
        <v>10</v>
      </c>
      <c r="M103" s="1">
        <v>340</v>
      </c>
      <c r="N103" s="1">
        <v>10</v>
      </c>
      <c r="O103" s="1">
        <v>10</v>
      </c>
      <c r="P103" s="1">
        <v>10</v>
      </c>
      <c r="Q103" s="1">
        <v>10</v>
      </c>
      <c r="R103" s="8">
        <v>3701</v>
      </c>
      <c r="S103" s="1">
        <v>30</v>
      </c>
      <c r="U103" s="1">
        <v>1700</v>
      </c>
      <c r="V103" s="8">
        <v>3701</v>
      </c>
      <c r="W103" s="1" t="s">
        <v>49</v>
      </c>
      <c r="X103" s="1">
        <v>150</v>
      </c>
      <c r="Y103" s="1">
        <f t="shared" si="6"/>
        <v>150</v>
      </c>
      <c r="Z103" s="1" t="str">
        <f t="shared" si="5"/>
        <v/>
      </c>
    </row>
    <row r="104" spans="3:26">
      <c r="C104" s="1">
        <v>902</v>
      </c>
      <c r="D104" s="1" t="s">
        <v>127</v>
      </c>
      <c r="E104" s="1">
        <v>9</v>
      </c>
      <c r="F104" s="1">
        <v>1</v>
      </c>
      <c r="G104" s="1" t="s">
        <v>53</v>
      </c>
      <c r="H104" s="1">
        <v>260000</v>
      </c>
      <c r="I104" s="1">
        <v>10</v>
      </c>
      <c r="J104" s="1">
        <v>10</v>
      </c>
      <c r="K104" s="1">
        <v>10</v>
      </c>
      <c r="L104" s="1">
        <v>10</v>
      </c>
      <c r="M104" s="1">
        <v>340</v>
      </c>
      <c r="N104" s="1">
        <v>20</v>
      </c>
      <c r="O104" s="1">
        <v>20</v>
      </c>
      <c r="P104" s="1">
        <v>10</v>
      </c>
      <c r="Q104" s="1">
        <v>10</v>
      </c>
      <c r="R104" s="8">
        <v>3701</v>
      </c>
      <c r="S104" s="1">
        <v>30</v>
      </c>
      <c r="U104" s="1">
        <v>1700</v>
      </c>
      <c r="V104" s="8">
        <v>3701</v>
      </c>
      <c r="W104" s="1" t="s">
        <v>49</v>
      </c>
      <c r="X104" s="1">
        <v>150</v>
      </c>
      <c r="Y104" s="1">
        <f t="shared" si="6"/>
        <v>150</v>
      </c>
      <c r="Z104" s="1" t="str">
        <f t="shared" si="5"/>
        <v/>
      </c>
    </row>
    <row r="105" spans="3:26">
      <c r="C105" s="1">
        <v>903</v>
      </c>
      <c r="D105" s="1" t="s">
        <v>128</v>
      </c>
      <c r="E105" s="1">
        <v>9</v>
      </c>
      <c r="F105" s="1">
        <v>2</v>
      </c>
      <c r="G105" s="1" t="s">
        <v>51</v>
      </c>
      <c r="H105" s="1">
        <v>265000</v>
      </c>
      <c r="I105" s="1">
        <v>10</v>
      </c>
      <c r="J105" s="1">
        <v>10</v>
      </c>
      <c r="K105" s="1">
        <v>10</v>
      </c>
      <c r="L105" s="1">
        <v>10</v>
      </c>
      <c r="M105" s="1">
        <v>340</v>
      </c>
      <c r="N105" s="1">
        <v>20</v>
      </c>
      <c r="O105" s="1">
        <v>20</v>
      </c>
      <c r="P105" s="1">
        <v>10</v>
      </c>
      <c r="Q105" s="1">
        <v>10</v>
      </c>
      <c r="R105" s="8">
        <v>3701</v>
      </c>
      <c r="S105" s="1">
        <v>30</v>
      </c>
      <c r="U105" s="1">
        <v>1700</v>
      </c>
      <c r="V105" s="8">
        <v>3702</v>
      </c>
      <c r="W105" s="1" t="s">
        <v>55</v>
      </c>
      <c r="X105" s="1">
        <v>2</v>
      </c>
      <c r="Y105" s="1">
        <f t="shared" si="6"/>
        <v>2</v>
      </c>
      <c r="Z105" s="1" t="str">
        <f t="shared" si="5"/>
        <v/>
      </c>
    </row>
    <row r="106" spans="3:26">
      <c r="C106" s="1">
        <v>904</v>
      </c>
      <c r="D106" s="1" t="s">
        <v>129</v>
      </c>
      <c r="E106" s="1">
        <v>9</v>
      </c>
      <c r="F106" s="1">
        <v>3</v>
      </c>
      <c r="G106" s="1" t="s">
        <v>53</v>
      </c>
      <c r="H106" s="1">
        <v>270000</v>
      </c>
      <c r="I106" s="1">
        <v>10</v>
      </c>
      <c r="J106" s="1">
        <v>10</v>
      </c>
      <c r="K106" s="1">
        <v>10</v>
      </c>
      <c r="L106" s="1">
        <v>10</v>
      </c>
      <c r="M106" s="1">
        <v>450</v>
      </c>
      <c r="N106" s="1">
        <v>10</v>
      </c>
      <c r="O106" s="1">
        <v>10</v>
      </c>
      <c r="P106" s="1">
        <v>10</v>
      </c>
      <c r="Q106" s="1">
        <v>10</v>
      </c>
      <c r="R106" s="8">
        <v>3701</v>
      </c>
      <c r="S106" s="1">
        <v>35</v>
      </c>
      <c r="U106" s="1">
        <v>2250</v>
      </c>
      <c r="V106" s="8">
        <v>3701</v>
      </c>
      <c r="W106" s="1" t="s">
        <v>49</v>
      </c>
      <c r="X106" s="1">
        <v>175</v>
      </c>
      <c r="Y106" s="1">
        <f t="shared" si="6"/>
        <v>175</v>
      </c>
      <c r="Z106" s="1" t="str">
        <f t="shared" si="5"/>
        <v/>
      </c>
    </row>
    <row r="107" spans="3:26">
      <c r="C107" s="1">
        <v>905</v>
      </c>
      <c r="D107" s="1" t="s">
        <v>130</v>
      </c>
      <c r="E107" s="1">
        <v>9</v>
      </c>
      <c r="F107" s="1">
        <v>4</v>
      </c>
      <c r="G107" s="1" t="s">
        <v>51</v>
      </c>
      <c r="H107" s="1">
        <v>275000</v>
      </c>
      <c r="I107" s="1">
        <v>10</v>
      </c>
      <c r="J107" s="1">
        <v>10</v>
      </c>
      <c r="K107" s="1">
        <v>10</v>
      </c>
      <c r="L107" s="1">
        <v>10</v>
      </c>
      <c r="M107" s="1">
        <v>450</v>
      </c>
      <c r="N107" s="1">
        <v>20</v>
      </c>
      <c r="O107" s="1">
        <v>20</v>
      </c>
      <c r="P107" s="1">
        <v>10</v>
      </c>
      <c r="Q107" s="1">
        <v>10</v>
      </c>
      <c r="R107" s="8">
        <v>3701</v>
      </c>
      <c r="S107" s="1">
        <v>35</v>
      </c>
      <c r="U107" s="1">
        <v>2250</v>
      </c>
      <c r="V107" s="8">
        <v>3701</v>
      </c>
      <c r="W107" s="1" t="s">
        <v>49</v>
      </c>
      <c r="X107" s="1">
        <v>175</v>
      </c>
      <c r="Y107" s="1">
        <f t="shared" si="6"/>
        <v>175</v>
      </c>
      <c r="Z107" s="1" t="str">
        <f t="shared" si="5"/>
        <v/>
      </c>
    </row>
    <row r="108" spans="3:26">
      <c r="C108" s="1">
        <v>906</v>
      </c>
      <c r="D108" s="1" t="s">
        <v>131</v>
      </c>
      <c r="E108" s="1">
        <v>9</v>
      </c>
      <c r="F108" s="1">
        <v>5</v>
      </c>
      <c r="G108" s="1" t="s">
        <v>53</v>
      </c>
      <c r="H108" s="1">
        <v>280000</v>
      </c>
      <c r="I108" s="1">
        <v>10</v>
      </c>
      <c r="J108" s="1">
        <v>10</v>
      </c>
      <c r="K108" s="1">
        <v>10</v>
      </c>
      <c r="L108" s="1">
        <v>10</v>
      </c>
      <c r="M108" s="1">
        <v>450</v>
      </c>
      <c r="N108" s="1">
        <v>20</v>
      </c>
      <c r="O108" s="1">
        <v>20</v>
      </c>
      <c r="P108" s="1">
        <v>10</v>
      </c>
      <c r="Q108" s="1">
        <v>10</v>
      </c>
      <c r="R108" s="8">
        <v>3701</v>
      </c>
      <c r="S108" s="1">
        <v>35</v>
      </c>
      <c r="U108" s="1">
        <v>2250</v>
      </c>
      <c r="V108" s="8">
        <v>3702</v>
      </c>
      <c r="W108" s="1" t="s">
        <v>55</v>
      </c>
      <c r="X108" s="1">
        <v>3</v>
      </c>
      <c r="Y108" s="1">
        <f t="shared" si="6"/>
        <v>3</v>
      </c>
      <c r="Z108" s="1" t="str">
        <f t="shared" si="5"/>
        <v/>
      </c>
    </row>
    <row r="109" spans="3:26">
      <c r="C109" s="1">
        <v>907</v>
      </c>
      <c r="D109" s="1" t="s">
        <v>132</v>
      </c>
      <c r="E109" s="1">
        <v>9</v>
      </c>
      <c r="F109" s="1">
        <v>6</v>
      </c>
      <c r="G109" s="1" t="s">
        <v>51</v>
      </c>
      <c r="H109" s="1">
        <v>285000</v>
      </c>
      <c r="I109" s="1">
        <v>10</v>
      </c>
      <c r="J109" s="1">
        <v>10</v>
      </c>
      <c r="K109" s="1">
        <v>10</v>
      </c>
      <c r="L109" s="1">
        <v>10</v>
      </c>
      <c r="M109" s="1">
        <v>550</v>
      </c>
      <c r="N109" s="1">
        <v>10</v>
      </c>
      <c r="O109" s="1">
        <v>10</v>
      </c>
      <c r="P109" s="1">
        <v>10</v>
      </c>
      <c r="Q109" s="1">
        <v>10</v>
      </c>
      <c r="R109" s="8">
        <v>3701</v>
      </c>
      <c r="S109" s="1">
        <v>40</v>
      </c>
      <c r="U109" s="1">
        <v>2850</v>
      </c>
      <c r="V109" s="8">
        <v>3701</v>
      </c>
      <c r="W109" s="1" t="s">
        <v>49</v>
      </c>
      <c r="X109" s="1">
        <v>200</v>
      </c>
      <c r="Y109" s="1">
        <f t="shared" si="6"/>
        <v>200</v>
      </c>
      <c r="Z109" s="1" t="str">
        <f t="shared" si="5"/>
        <v/>
      </c>
    </row>
    <row r="110" spans="3:26">
      <c r="C110" s="1">
        <v>908</v>
      </c>
      <c r="D110" s="1" t="s">
        <v>133</v>
      </c>
      <c r="E110" s="1">
        <v>9</v>
      </c>
      <c r="F110" s="1">
        <v>7</v>
      </c>
      <c r="G110" s="1" t="s">
        <v>53</v>
      </c>
      <c r="H110" s="1">
        <v>290000</v>
      </c>
      <c r="I110" s="1">
        <v>10</v>
      </c>
      <c r="J110" s="1">
        <v>10</v>
      </c>
      <c r="K110" s="1">
        <v>10</v>
      </c>
      <c r="L110" s="1">
        <v>10</v>
      </c>
      <c r="M110" s="1">
        <v>550</v>
      </c>
      <c r="N110" s="1">
        <v>20</v>
      </c>
      <c r="O110" s="1">
        <v>20</v>
      </c>
      <c r="P110" s="1">
        <v>10</v>
      </c>
      <c r="Q110" s="1">
        <v>10</v>
      </c>
      <c r="R110" s="8">
        <v>3701</v>
      </c>
      <c r="S110" s="1">
        <v>40</v>
      </c>
      <c r="U110" s="1">
        <v>2850</v>
      </c>
      <c r="V110" s="8">
        <v>3701</v>
      </c>
      <c r="W110" s="1" t="s">
        <v>49</v>
      </c>
      <c r="X110" s="1">
        <v>200</v>
      </c>
      <c r="Y110" s="1">
        <f t="shared" si="6"/>
        <v>200</v>
      </c>
      <c r="Z110" s="1" t="str">
        <f t="shared" si="5"/>
        <v/>
      </c>
    </row>
    <row r="111" spans="3:26">
      <c r="C111" s="1">
        <v>909</v>
      </c>
      <c r="D111" s="1" t="s">
        <v>134</v>
      </c>
      <c r="E111" s="1">
        <v>9</v>
      </c>
      <c r="F111" s="1">
        <v>8</v>
      </c>
      <c r="G111" s="1" t="s">
        <v>51</v>
      </c>
      <c r="H111" s="1">
        <v>295000</v>
      </c>
      <c r="I111" s="1">
        <v>10</v>
      </c>
      <c r="J111" s="1">
        <v>10</v>
      </c>
      <c r="K111" s="1">
        <v>10</v>
      </c>
      <c r="L111" s="1">
        <v>10</v>
      </c>
      <c r="M111" s="1">
        <v>550</v>
      </c>
      <c r="N111" s="1">
        <v>20</v>
      </c>
      <c r="O111" s="1">
        <v>20</v>
      </c>
      <c r="P111" s="1">
        <v>10</v>
      </c>
      <c r="Q111" s="1">
        <v>10</v>
      </c>
      <c r="R111" s="8">
        <v>3701</v>
      </c>
      <c r="S111" s="1">
        <v>40</v>
      </c>
      <c r="U111" s="1">
        <v>2850</v>
      </c>
      <c r="V111" s="8">
        <v>3702</v>
      </c>
      <c r="W111" s="1" t="s">
        <v>55</v>
      </c>
      <c r="X111" s="1">
        <v>5</v>
      </c>
      <c r="Y111" s="1">
        <f t="shared" si="6"/>
        <v>5</v>
      </c>
      <c r="Z111" s="1" t="str">
        <f t="shared" ref="Z111:Z142" si="7">IF(Y111=X111,"","11111")</f>
        <v/>
      </c>
    </row>
    <row r="112" spans="3:26">
      <c r="C112" s="1">
        <v>910</v>
      </c>
      <c r="D112" s="1" t="s">
        <v>135</v>
      </c>
      <c r="E112" s="1">
        <v>9</v>
      </c>
      <c r="F112" s="1">
        <v>9</v>
      </c>
      <c r="G112" s="1" t="s">
        <v>53</v>
      </c>
      <c r="H112" s="1">
        <v>300000</v>
      </c>
      <c r="I112" s="1">
        <v>10</v>
      </c>
      <c r="J112" s="1">
        <v>10</v>
      </c>
      <c r="K112" s="1">
        <v>10</v>
      </c>
      <c r="L112" s="1">
        <v>10</v>
      </c>
      <c r="M112" s="1">
        <v>690</v>
      </c>
      <c r="N112" s="1">
        <v>20</v>
      </c>
      <c r="O112" s="1">
        <v>20</v>
      </c>
      <c r="P112" s="1">
        <v>10</v>
      </c>
      <c r="Q112" s="1">
        <v>10</v>
      </c>
      <c r="R112" s="8">
        <v>3701</v>
      </c>
      <c r="S112" s="1">
        <v>50</v>
      </c>
      <c r="U112" s="1">
        <v>3400</v>
      </c>
      <c r="V112" s="8">
        <v>3701</v>
      </c>
      <c r="W112" s="1" t="s">
        <v>49</v>
      </c>
      <c r="X112" s="1">
        <v>250</v>
      </c>
      <c r="Y112" s="1">
        <f t="shared" si="6"/>
        <v>250</v>
      </c>
      <c r="Z112" s="1" t="str">
        <f t="shared" si="7"/>
        <v/>
      </c>
    </row>
    <row r="113" spans="3:26">
      <c r="C113" s="1">
        <v>911</v>
      </c>
      <c r="D113" s="1" t="s">
        <v>136</v>
      </c>
      <c r="E113" s="1">
        <v>9</v>
      </c>
      <c r="F113" s="1">
        <v>10</v>
      </c>
      <c r="G113" s="1" t="s">
        <v>51</v>
      </c>
      <c r="H113" s="1">
        <v>305000</v>
      </c>
      <c r="I113" s="1">
        <v>20</v>
      </c>
      <c r="J113" s="1">
        <v>20</v>
      </c>
      <c r="K113" s="1">
        <v>10</v>
      </c>
      <c r="L113" s="1">
        <v>10</v>
      </c>
      <c r="M113" s="1">
        <v>690</v>
      </c>
      <c r="N113" s="1">
        <v>20</v>
      </c>
      <c r="O113" s="1">
        <v>20</v>
      </c>
      <c r="P113" s="1">
        <v>10</v>
      </c>
      <c r="Q113" s="1">
        <v>10</v>
      </c>
      <c r="R113" s="8">
        <v>3701</v>
      </c>
      <c r="S113" s="1">
        <v>50</v>
      </c>
      <c r="U113" s="1">
        <v>3400</v>
      </c>
      <c r="V113" s="8">
        <v>3701</v>
      </c>
      <c r="W113" s="1" t="s">
        <v>49</v>
      </c>
      <c r="X113" s="1">
        <v>250</v>
      </c>
      <c r="Y113" s="1">
        <f t="shared" si="6"/>
        <v>250</v>
      </c>
      <c r="Z113" s="1" t="str">
        <f t="shared" si="7"/>
        <v/>
      </c>
    </row>
    <row r="114" spans="3:26">
      <c r="C114" s="1">
        <v>912</v>
      </c>
      <c r="D114" s="1" t="s">
        <v>137</v>
      </c>
      <c r="E114" s="1">
        <v>9</v>
      </c>
      <c r="F114" s="1">
        <v>11</v>
      </c>
      <c r="G114" s="1" t="s">
        <v>53</v>
      </c>
      <c r="H114" s="1">
        <v>310000</v>
      </c>
      <c r="I114" s="1">
        <v>20</v>
      </c>
      <c r="J114" s="1">
        <v>20</v>
      </c>
      <c r="K114" s="1">
        <v>10</v>
      </c>
      <c r="L114" s="1">
        <v>10</v>
      </c>
      <c r="M114" s="1">
        <v>690</v>
      </c>
      <c r="N114" s="1">
        <v>20</v>
      </c>
      <c r="O114" s="1">
        <v>20</v>
      </c>
      <c r="P114" s="1">
        <v>10</v>
      </c>
      <c r="Q114" s="1">
        <v>10</v>
      </c>
      <c r="R114" s="8">
        <v>3701</v>
      </c>
      <c r="S114" s="1">
        <v>50</v>
      </c>
      <c r="U114" s="1">
        <v>3400</v>
      </c>
      <c r="V114" s="8">
        <v>3702</v>
      </c>
      <c r="W114" s="1" t="s">
        <v>55</v>
      </c>
      <c r="X114" s="1">
        <v>10</v>
      </c>
      <c r="Y114" s="1">
        <f t="shared" si="6"/>
        <v>10</v>
      </c>
      <c r="Z114" s="1" t="str">
        <f t="shared" si="7"/>
        <v/>
      </c>
    </row>
    <row r="115" spans="3:26">
      <c r="C115" s="1">
        <v>913</v>
      </c>
      <c r="D115" s="1" t="s">
        <v>138</v>
      </c>
      <c r="E115" s="1">
        <v>9</v>
      </c>
      <c r="F115" s="1">
        <v>12</v>
      </c>
      <c r="G115" s="1" t="s">
        <v>51</v>
      </c>
      <c r="H115" s="1">
        <v>315000</v>
      </c>
      <c r="I115" s="1">
        <v>10</v>
      </c>
      <c r="J115" s="1">
        <v>10</v>
      </c>
      <c r="K115" s="1">
        <v>20</v>
      </c>
      <c r="L115" s="1">
        <v>20</v>
      </c>
      <c r="M115" s="1">
        <v>790</v>
      </c>
      <c r="N115" s="1">
        <v>20</v>
      </c>
      <c r="O115" s="1">
        <v>20</v>
      </c>
      <c r="P115" s="1">
        <v>20</v>
      </c>
      <c r="Q115" s="1">
        <v>20</v>
      </c>
      <c r="R115" s="8">
        <v>3701</v>
      </c>
      <c r="S115" s="1">
        <v>65</v>
      </c>
      <c r="U115" s="1">
        <v>3925</v>
      </c>
      <c r="V115" s="8">
        <v>3701</v>
      </c>
      <c r="W115" s="1" t="s">
        <v>49</v>
      </c>
      <c r="X115" s="1">
        <v>325</v>
      </c>
      <c r="Y115" s="1">
        <f t="shared" si="6"/>
        <v>325</v>
      </c>
      <c r="Z115" s="1" t="str">
        <f t="shared" si="7"/>
        <v/>
      </c>
    </row>
    <row r="116" spans="3:26">
      <c r="C116" s="1">
        <v>914</v>
      </c>
      <c r="D116" s="1" t="s">
        <v>139</v>
      </c>
      <c r="E116" s="1">
        <v>9</v>
      </c>
      <c r="F116" s="1">
        <v>13</v>
      </c>
      <c r="G116" s="1" t="s">
        <v>53</v>
      </c>
      <c r="H116" s="1">
        <v>320000</v>
      </c>
      <c r="I116" s="1">
        <v>20</v>
      </c>
      <c r="J116" s="1">
        <v>20</v>
      </c>
      <c r="K116" s="1">
        <v>20</v>
      </c>
      <c r="L116" s="1">
        <v>20</v>
      </c>
      <c r="M116" s="1">
        <v>790</v>
      </c>
      <c r="N116" s="1">
        <v>20</v>
      </c>
      <c r="O116" s="1">
        <v>20</v>
      </c>
      <c r="P116" s="1">
        <v>20</v>
      </c>
      <c r="Q116" s="1">
        <v>20</v>
      </c>
      <c r="R116" s="8">
        <v>3701</v>
      </c>
      <c r="S116" s="1">
        <v>65</v>
      </c>
      <c r="U116" s="1">
        <v>3925</v>
      </c>
      <c r="V116" s="8">
        <v>3701</v>
      </c>
      <c r="W116" s="1" t="s">
        <v>49</v>
      </c>
      <c r="X116" s="1">
        <v>325</v>
      </c>
      <c r="Y116" s="1">
        <f t="shared" si="6"/>
        <v>325</v>
      </c>
      <c r="Z116" s="1" t="str">
        <f t="shared" si="7"/>
        <v/>
      </c>
    </row>
    <row r="117" spans="3:26">
      <c r="C117" s="1">
        <v>915</v>
      </c>
      <c r="D117" s="1" t="s">
        <v>140</v>
      </c>
      <c r="E117" s="1">
        <v>9</v>
      </c>
      <c r="F117" s="1">
        <v>14</v>
      </c>
      <c r="G117" s="1" t="s">
        <v>51</v>
      </c>
      <c r="H117" s="1">
        <v>486000</v>
      </c>
      <c r="I117" s="1">
        <v>20</v>
      </c>
      <c r="J117" s="1">
        <v>20</v>
      </c>
      <c r="K117" s="1">
        <v>20</v>
      </c>
      <c r="L117" s="1">
        <v>20</v>
      </c>
      <c r="M117" s="1">
        <v>790</v>
      </c>
      <c r="N117" s="1">
        <v>30</v>
      </c>
      <c r="O117" s="1">
        <v>30</v>
      </c>
      <c r="P117" s="1">
        <v>20</v>
      </c>
      <c r="Q117" s="1">
        <v>20</v>
      </c>
      <c r="R117" s="8">
        <v>3701</v>
      </c>
      <c r="S117" s="1">
        <v>65</v>
      </c>
      <c r="U117" s="1">
        <v>3930</v>
      </c>
      <c r="V117" s="8">
        <v>3702</v>
      </c>
      <c r="W117" s="1" t="s">
        <v>55</v>
      </c>
      <c r="X117" s="1">
        <v>15</v>
      </c>
      <c r="Y117" s="1">
        <f t="shared" si="6"/>
        <v>15</v>
      </c>
      <c r="Z117" s="1" t="str">
        <f t="shared" si="7"/>
        <v/>
      </c>
    </row>
    <row r="118" spans="2:26">
      <c r="B118" s="5" t="s">
        <v>11</v>
      </c>
      <c r="C118" s="5" t="s">
        <v>141</v>
      </c>
      <c r="R118" s="8"/>
      <c r="V118" s="8"/>
      <c r="Y118" s="1">
        <f t="shared" si="6"/>
        <v>0</v>
      </c>
      <c r="Z118" s="1" t="str">
        <f t="shared" si="7"/>
        <v/>
      </c>
    </row>
    <row r="119" spans="3:26">
      <c r="C119" s="1">
        <v>9101</v>
      </c>
      <c r="D119" s="1" t="s">
        <v>126</v>
      </c>
      <c r="E119" s="1">
        <v>901</v>
      </c>
      <c r="F119" s="1">
        <v>0</v>
      </c>
      <c r="G119" s="1" t="s">
        <v>51</v>
      </c>
      <c r="H119" s="1">
        <v>510000</v>
      </c>
      <c r="I119" s="1">
        <v>10</v>
      </c>
      <c r="J119" s="1">
        <v>10</v>
      </c>
      <c r="K119" s="1">
        <v>10</v>
      </c>
      <c r="L119" s="1">
        <v>10</v>
      </c>
      <c r="M119" s="1">
        <v>680</v>
      </c>
      <c r="N119" s="1">
        <v>10</v>
      </c>
      <c r="O119" s="1">
        <v>10</v>
      </c>
      <c r="P119" s="1">
        <v>10</v>
      </c>
      <c r="Q119" s="1">
        <v>10</v>
      </c>
      <c r="R119" s="8">
        <v>3701</v>
      </c>
      <c r="S119" s="1">
        <v>90</v>
      </c>
      <c r="U119" s="1">
        <v>3400</v>
      </c>
      <c r="V119" s="8">
        <v>3701</v>
      </c>
      <c r="W119" s="1" t="s">
        <v>49</v>
      </c>
      <c r="X119" s="1">
        <v>450</v>
      </c>
      <c r="Y119" s="1">
        <f t="shared" si="6"/>
        <v>450</v>
      </c>
      <c r="Z119" s="1" t="str">
        <f t="shared" si="7"/>
        <v/>
      </c>
    </row>
    <row r="120" spans="3:26">
      <c r="C120" s="1">
        <v>9102</v>
      </c>
      <c r="D120" s="1" t="s">
        <v>127</v>
      </c>
      <c r="E120" s="1">
        <v>901</v>
      </c>
      <c r="F120" s="1">
        <v>1</v>
      </c>
      <c r="G120" s="1" t="s">
        <v>53</v>
      </c>
      <c r="H120" s="1">
        <v>520000</v>
      </c>
      <c r="I120" s="1">
        <v>10</v>
      </c>
      <c r="J120" s="1">
        <v>10</v>
      </c>
      <c r="K120" s="1">
        <v>10</v>
      </c>
      <c r="L120" s="1">
        <v>10</v>
      </c>
      <c r="M120" s="1">
        <v>680</v>
      </c>
      <c r="N120" s="1">
        <v>20</v>
      </c>
      <c r="O120" s="1">
        <v>20</v>
      </c>
      <c r="P120" s="1">
        <v>10</v>
      </c>
      <c r="Q120" s="1">
        <v>10</v>
      </c>
      <c r="R120" s="8">
        <v>3701</v>
      </c>
      <c r="S120" s="1">
        <v>90</v>
      </c>
      <c r="U120" s="1">
        <v>3400</v>
      </c>
      <c r="V120" s="8">
        <v>3701</v>
      </c>
      <c r="W120" s="1" t="s">
        <v>49</v>
      </c>
      <c r="X120" s="1">
        <v>450</v>
      </c>
      <c r="Y120" s="1">
        <f t="shared" si="6"/>
        <v>450</v>
      </c>
      <c r="Z120" s="1" t="str">
        <f t="shared" si="7"/>
        <v/>
      </c>
    </row>
    <row r="121" spans="3:26">
      <c r="C121" s="1">
        <v>9103</v>
      </c>
      <c r="D121" s="1" t="s">
        <v>128</v>
      </c>
      <c r="E121" s="1">
        <v>901</v>
      </c>
      <c r="F121" s="1">
        <v>2</v>
      </c>
      <c r="G121" s="1" t="s">
        <v>51</v>
      </c>
      <c r="H121" s="1">
        <v>530000</v>
      </c>
      <c r="I121" s="1">
        <v>10</v>
      </c>
      <c r="J121" s="1">
        <v>10</v>
      </c>
      <c r="K121" s="1">
        <v>10</v>
      </c>
      <c r="L121" s="1">
        <v>10</v>
      </c>
      <c r="M121" s="1">
        <v>680</v>
      </c>
      <c r="N121" s="1">
        <v>20</v>
      </c>
      <c r="O121" s="1">
        <v>20</v>
      </c>
      <c r="P121" s="1">
        <v>10</v>
      </c>
      <c r="Q121" s="1">
        <v>10</v>
      </c>
      <c r="R121" s="8">
        <v>3701</v>
      </c>
      <c r="S121" s="1">
        <v>90</v>
      </c>
      <c r="U121" s="1">
        <v>3400</v>
      </c>
      <c r="V121" s="8">
        <v>3702</v>
      </c>
      <c r="W121" s="1" t="s">
        <v>55</v>
      </c>
      <c r="X121" s="1">
        <v>6</v>
      </c>
      <c r="Y121" s="1">
        <f t="shared" si="6"/>
        <v>6</v>
      </c>
      <c r="Z121" s="1" t="str">
        <f t="shared" si="7"/>
        <v/>
      </c>
    </row>
    <row r="122" spans="3:26">
      <c r="C122" s="1">
        <v>9104</v>
      </c>
      <c r="D122" s="1" t="s">
        <v>129</v>
      </c>
      <c r="E122" s="1">
        <v>901</v>
      </c>
      <c r="F122" s="1">
        <v>3</v>
      </c>
      <c r="G122" s="1" t="s">
        <v>53</v>
      </c>
      <c r="H122" s="1">
        <v>540000</v>
      </c>
      <c r="I122" s="1">
        <v>10</v>
      </c>
      <c r="J122" s="1">
        <v>10</v>
      </c>
      <c r="K122" s="1">
        <v>10</v>
      </c>
      <c r="L122" s="1">
        <v>10</v>
      </c>
      <c r="M122" s="1">
        <v>900</v>
      </c>
      <c r="N122" s="1">
        <v>10</v>
      </c>
      <c r="O122" s="1">
        <v>10</v>
      </c>
      <c r="P122" s="1">
        <v>10</v>
      </c>
      <c r="Q122" s="1">
        <v>10</v>
      </c>
      <c r="R122" s="8">
        <v>3701</v>
      </c>
      <c r="S122" s="1">
        <v>105</v>
      </c>
      <c r="U122" s="1">
        <v>4500</v>
      </c>
      <c r="V122" s="8">
        <v>3701</v>
      </c>
      <c r="W122" s="1" t="s">
        <v>49</v>
      </c>
      <c r="X122" s="1">
        <v>525</v>
      </c>
      <c r="Y122" s="1">
        <f t="shared" si="6"/>
        <v>525</v>
      </c>
      <c r="Z122" s="1" t="str">
        <f t="shared" si="7"/>
        <v/>
      </c>
    </row>
    <row r="123" spans="3:26">
      <c r="C123" s="1">
        <v>9105</v>
      </c>
      <c r="D123" s="1" t="s">
        <v>130</v>
      </c>
      <c r="E123" s="1">
        <v>901</v>
      </c>
      <c r="F123" s="1">
        <v>4</v>
      </c>
      <c r="G123" s="1" t="s">
        <v>51</v>
      </c>
      <c r="H123" s="1">
        <v>550000</v>
      </c>
      <c r="I123" s="1">
        <v>10</v>
      </c>
      <c r="J123" s="1">
        <v>10</v>
      </c>
      <c r="K123" s="1">
        <v>10</v>
      </c>
      <c r="L123" s="1">
        <v>10</v>
      </c>
      <c r="M123" s="1">
        <v>900</v>
      </c>
      <c r="N123" s="1">
        <v>20</v>
      </c>
      <c r="O123" s="1">
        <v>20</v>
      </c>
      <c r="P123" s="1">
        <v>10</v>
      </c>
      <c r="Q123" s="1">
        <v>10</v>
      </c>
      <c r="R123" s="8">
        <v>3701</v>
      </c>
      <c r="S123" s="1">
        <v>105</v>
      </c>
      <c r="U123" s="1">
        <v>4500</v>
      </c>
      <c r="V123" s="8">
        <v>3701</v>
      </c>
      <c r="W123" s="1" t="s">
        <v>49</v>
      </c>
      <c r="X123" s="1">
        <v>525</v>
      </c>
      <c r="Y123" s="1">
        <f t="shared" si="6"/>
        <v>525</v>
      </c>
      <c r="Z123" s="1" t="str">
        <f t="shared" si="7"/>
        <v/>
      </c>
    </row>
    <row r="124" spans="3:26">
      <c r="C124" s="1">
        <v>9106</v>
      </c>
      <c r="D124" s="1" t="s">
        <v>131</v>
      </c>
      <c r="E124" s="1">
        <v>901</v>
      </c>
      <c r="F124" s="1">
        <v>5</v>
      </c>
      <c r="G124" s="1" t="s">
        <v>53</v>
      </c>
      <c r="H124" s="1">
        <v>560000</v>
      </c>
      <c r="I124" s="1">
        <v>10</v>
      </c>
      <c r="J124" s="1">
        <v>10</v>
      </c>
      <c r="K124" s="1">
        <v>10</v>
      </c>
      <c r="L124" s="1">
        <v>10</v>
      </c>
      <c r="M124" s="1">
        <v>900</v>
      </c>
      <c r="N124" s="1">
        <v>20</v>
      </c>
      <c r="O124" s="1">
        <v>20</v>
      </c>
      <c r="P124" s="1">
        <v>10</v>
      </c>
      <c r="Q124" s="1">
        <v>10</v>
      </c>
      <c r="R124" s="8">
        <v>3701</v>
      </c>
      <c r="S124" s="1">
        <v>105</v>
      </c>
      <c r="U124" s="1">
        <v>4500</v>
      </c>
      <c r="V124" s="8">
        <v>3702</v>
      </c>
      <c r="W124" s="1" t="s">
        <v>55</v>
      </c>
      <c r="X124" s="1">
        <v>9</v>
      </c>
      <c r="Y124" s="1">
        <f t="shared" si="6"/>
        <v>9</v>
      </c>
      <c r="Z124" s="1" t="str">
        <f t="shared" si="7"/>
        <v/>
      </c>
    </row>
    <row r="125" spans="3:26">
      <c r="C125" s="1">
        <v>9107</v>
      </c>
      <c r="D125" s="1" t="s">
        <v>132</v>
      </c>
      <c r="E125" s="1">
        <v>901</v>
      </c>
      <c r="F125" s="1">
        <v>6</v>
      </c>
      <c r="G125" s="1" t="s">
        <v>51</v>
      </c>
      <c r="H125" s="1">
        <v>570000</v>
      </c>
      <c r="I125" s="1">
        <v>10</v>
      </c>
      <c r="J125" s="1">
        <v>10</v>
      </c>
      <c r="K125" s="1">
        <v>10</v>
      </c>
      <c r="L125" s="1">
        <v>10</v>
      </c>
      <c r="M125" s="1">
        <v>1100</v>
      </c>
      <c r="N125" s="1">
        <v>10</v>
      </c>
      <c r="O125" s="1">
        <v>10</v>
      </c>
      <c r="P125" s="1">
        <v>10</v>
      </c>
      <c r="Q125" s="1">
        <v>10</v>
      </c>
      <c r="R125" s="8">
        <v>3701</v>
      </c>
      <c r="S125" s="1">
        <v>120</v>
      </c>
      <c r="U125" s="1">
        <v>5700</v>
      </c>
      <c r="V125" s="8">
        <v>3701</v>
      </c>
      <c r="W125" s="1" t="s">
        <v>49</v>
      </c>
      <c r="X125" s="1">
        <v>600</v>
      </c>
      <c r="Y125" s="1">
        <f t="shared" si="6"/>
        <v>600</v>
      </c>
      <c r="Z125" s="1" t="str">
        <f t="shared" si="7"/>
        <v/>
      </c>
    </row>
    <row r="126" spans="3:26">
      <c r="C126" s="1">
        <v>9108</v>
      </c>
      <c r="D126" s="1" t="s">
        <v>133</v>
      </c>
      <c r="E126" s="1">
        <v>901</v>
      </c>
      <c r="F126" s="1">
        <v>7</v>
      </c>
      <c r="G126" s="1" t="s">
        <v>53</v>
      </c>
      <c r="H126" s="1">
        <v>580000</v>
      </c>
      <c r="I126" s="1">
        <v>10</v>
      </c>
      <c r="J126" s="1">
        <v>10</v>
      </c>
      <c r="K126" s="1">
        <v>10</v>
      </c>
      <c r="L126" s="1">
        <v>10</v>
      </c>
      <c r="M126" s="1">
        <v>1100</v>
      </c>
      <c r="N126" s="1">
        <v>20</v>
      </c>
      <c r="O126" s="1">
        <v>20</v>
      </c>
      <c r="P126" s="1">
        <v>10</v>
      </c>
      <c r="Q126" s="1">
        <v>10</v>
      </c>
      <c r="R126" s="8">
        <v>3701</v>
      </c>
      <c r="S126" s="1">
        <v>120</v>
      </c>
      <c r="U126" s="1">
        <v>5700</v>
      </c>
      <c r="V126" s="8">
        <v>3701</v>
      </c>
      <c r="W126" s="1" t="s">
        <v>49</v>
      </c>
      <c r="X126" s="1">
        <v>600</v>
      </c>
      <c r="Y126" s="1">
        <f t="shared" si="6"/>
        <v>600</v>
      </c>
      <c r="Z126" s="1" t="str">
        <f t="shared" si="7"/>
        <v/>
      </c>
    </row>
    <row r="127" spans="3:26">
      <c r="C127" s="1">
        <v>9109</v>
      </c>
      <c r="D127" s="1" t="s">
        <v>134</v>
      </c>
      <c r="E127" s="1">
        <v>901</v>
      </c>
      <c r="F127" s="1">
        <v>8</v>
      </c>
      <c r="G127" s="1" t="s">
        <v>51</v>
      </c>
      <c r="H127" s="1">
        <v>590000</v>
      </c>
      <c r="I127" s="1">
        <v>10</v>
      </c>
      <c r="J127" s="1">
        <v>10</v>
      </c>
      <c r="K127" s="1">
        <v>10</v>
      </c>
      <c r="L127" s="1">
        <v>10</v>
      </c>
      <c r="M127" s="1">
        <v>1100</v>
      </c>
      <c r="N127" s="1">
        <v>20</v>
      </c>
      <c r="O127" s="1">
        <v>20</v>
      </c>
      <c r="P127" s="1">
        <v>10</v>
      </c>
      <c r="Q127" s="1">
        <v>10</v>
      </c>
      <c r="R127" s="8">
        <v>3701</v>
      </c>
      <c r="S127" s="1">
        <v>120</v>
      </c>
      <c r="U127" s="1">
        <v>5700</v>
      </c>
      <c r="V127" s="8">
        <v>3702</v>
      </c>
      <c r="W127" s="1" t="s">
        <v>55</v>
      </c>
      <c r="X127" s="1">
        <v>15</v>
      </c>
      <c r="Y127" s="1">
        <f t="shared" si="6"/>
        <v>15</v>
      </c>
      <c r="Z127" s="1" t="str">
        <f t="shared" si="7"/>
        <v/>
      </c>
    </row>
    <row r="128" spans="3:26">
      <c r="C128" s="1">
        <v>9110</v>
      </c>
      <c r="D128" s="1" t="s">
        <v>135</v>
      </c>
      <c r="E128" s="1">
        <v>901</v>
      </c>
      <c r="F128" s="1">
        <v>9</v>
      </c>
      <c r="G128" s="1" t="s">
        <v>53</v>
      </c>
      <c r="H128" s="1">
        <v>600000</v>
      </c>
      <c r="I128" s="1">
        <v>10</v>
      </c>
      <c r="J128" s="1">
        <v>10</v>
      </c>
      <c r="K128" s="1">
        <v>10</v>
      </c>
      <c r="L128" s="1">
        <v>10</v>
      </c>
      <c r="M128" s="1">
        <v>1380</v>
      </c>
      <c r="N128" s="1">
        <v>20</v>
      </c>
      <c r="O128" s="1">
        <v>20</v>
      </c>
      <c r="P128" s="1">
        <v>10</v>
      </c>
      <c r="Q128" s="1">
        <v>10</v>
      </c>
      <c r="R128" s="8">
        <v>3701</v>
      </c>
      <c r="S128" s="1">
        <v>150</v>
      </c>
      <c r="U128" s="1">
        <v>6800</v>
      </c>
      <c r="V128" s="8">
        <v>3701</v>
      </c>
      <c r="W128" s="1" t="s">
        <v>49</v>
      </c>
      <c r="X128" s="1">
        <v>750</v>
      </c>
      <c r="Y128" s="1">
        <f t="shared" si="6"/>
        <v>750</v>
      </c>
      <c r="Z128" s="1" t="str">
        <f t="shared" si="7"/>
        <v/>
      </c>
    </row>
    <row r="129" spans="3:26">
      <c r="C129" s="1">
        <v>9111</v>
      </c>
      <c r="D129" s="1" t="s">
        <v>136</v>
      </c>
      <c r="E129" s="1">
        <v>901</v>
      </c>
      <c r="F129" s="1">
        <v>10</v>
      </c>
      <c r="G129" s="1" t="s">
        <v>51</v>
      </c>
      <c r="H129" s="1">
        <v>610000</v>
      </c>
      <c r="I129" s="1">
        <v>20</v>
      </c>
      <c r="J129" s="1">
        <v>20</v>
      </c>
      <c r="K129" s="1">
        <v>10</v>
      </c>
      <c r="L129" s="1">
        <v>10</v>
      </c>
      <c r="M129" s="1">
        <v>1380</v>
      </c>
      <c r="N129" s="1">
        <v>20</v>
      </c>
      <c r="O129" s="1">
        <v>20</v>
      </c>
      <c r="P129" s="1">
        <v>10</v>
      </c>
      <c r="Q129" s="1">
        <v>10</v>
      </c>
      <c r="R129" s="8">
        <v>3701</v>
      </c>
      <c r="S129" s="1">
        <v>150</v>
      </c>
      <c r="U129" s="1">
        <v>6800</v>
      </c>
      <c r="V129" s="8">
        <v>3701</v>
      </c>
      <c r="W129" s="1" t="s">
        <v>49</v>
      </c>
      <c r="X129" s="1">
        <v>750</v>
      </c>
      <c r="Y129" s="1">
        <f t="shared" si="6"/>
        <v>750</v>
      </c>
      <c r="Z129" s="1" t="str">
        <f t="shared" si="7"/>
        <v/>
      </c>
    </row>
    <row r="130" spans="3:26">
      <c r="C130" s="1">
        <v>9112</v>
      </c>
      <c r="D130" s="1" t="s">
        <v>137</v>
      </c>
      <c r="E130" s="1">
        <v>901</v>
      </c>
      <c r="F130" s="1">
        <v>11</v>
      </c>
      <c r="G130" s="1" t="s">
        <v>53</v>
      </c>
      <c r="H130" s="1">
        <v>620000</v>
      </c>
      <c r="I130" s="1">
        <v>20</v>
      </c>
      <c r="J130" s="1">
        <v>20</v>
      </c>
      <c r="K130" s="1">
        <v>10</v>
      </c>
      <c r="L130" s="1">
        <v>10</v>
      </c>
      <c r="M130" s="1">
        <v>1380</v>
      </c>
      <c r="N130" s="1">
        <v>20</v>
      </c>
      <c r="O130" s="1">
        <v>20</v>
      </c>
      <c r="P130" s="1">
        <v>10</v>
      </c>
      <c r="Q130" s="1">
        <v>10</v>
      </c>
      <c r="R130" s="8">
        <v>3701</v>
      </c>
      <c r="S130" s="1">
        <v>150</v>
      </c>
      <c r="U130" s="1">
        <v>6800</v>
      </c>
      <c r="V130" s="8">
        <v>3702</v>
      </c>
      <c r="W130" s="1" t="s">
        <v>55</v>
      </c>
      <c r="X130" s="1">
        <v>30</v>
      </c>
      <c r="Y130" s="1">
        <f t="shared" si="6"/>
        <v>30</v>
      </c>
      <c r="Z130" s="1" t="str">
        <f t="shared" si="7"/>
        <v/>
      </c>
    </row>
    <row r="131" spans="3:26">
      <c r="C131" s="1">
        <v>9113</v>
      </c>
      <c r="D131" s="1" t="s">
        <v>138</v>
      </c>
      <c r="E131" s="1">
        <v>901</v>
      </c>
      <c r="F131" s="1">
        <v>12</v>
      </c>
      <c r="G131" s="1" t="s">
        <v>51</v>
      </c>
      <c r="H131" s="1">
        <v>630000</v>
      </c>
      <c r="I131" s="1">
        <v>10</v>
      </c>
      <c r="J131" s="1">
        <v>10</v>
      </c>
      <c r="K131" s="1">
        <v>20</v>
      </c>
      <c r="L131" s="1">
        <v>20</v>
      </c>
      <c r="M131" s="1">
        <v>1580</v>
      </c>
      <c r="N131" s="1">
        <v>20</v>
      </c>
      <c r="O131" s="1">
        <v>20</v>
      </c>
      <c r="P131" s="1">
        <v>20</v>
      </c>
      <c r="Q131" s="1">
        <v>20</v>
      </c>
      <c r="R131" s="8">
        <v>3701</v>
      </c>
      <c r="S131" s="1">
        <v>195</v>
      </c>
      <c r="U131" s="1">
        <v>7850</v>
      </c>
      <c r="V131" s="8">
        <v>3701</v>
      </c>
      <c r="W131" s="1" t="s">
        <v>49</v>
      </c>
      <c r="X131" s="1">
        <v>975</v>
      </c>
      <c r="Y131" s="1">
        <f t="shared" si="6"/>
        <v>975</v>
      </c>
      <c r="Z131" s="1" t="str">
        <f t="shared" si="7"/>
        <v/>
      </c>
    </row>
    <row r="132" spans="3:26">
      <c r="C132" s="1">
        <v>9114</v>
      </c>
      <c r="D132" s="1" t="s">
        <v>139</v>
      </c>
      <c r="E132" s="1">
        <v>901</v>
      </c>
      <c r="F132" s="1">
        <v>13</v>
      </c>
      <c r="G132" s="1" t="s">
        <v>53</v>
      </c>
      <c r="H132" s="1">
        <v>640000</v>
      </c>
      <c r="I132" s="1">
        <v>20</v>
      </c>
      <c r="J132" s="1">
        <v>20</v>
      </c>
      <c r="K132" s="1">
        <v>20</v>
      </c>
      <c r="L132" s="1">
        <v>20</v>
      </c>
      <c r="M132" s="1">
        <v>1580</v>
      </c>
      <c r="N132" s="1">
        <v>20</v>
      </c>
      <c r="O132" s="1">
        <v>20</v>
      </c>
      <c r="P132" s="1">
        <v>20</v>
      </c>
      <c r="Q132" s="1">
        <v>20</v>
      </c>
      <c r="R132" s="8">
        <v>3701</v>
      </c>
      <c r="S132" s="1">
        <v>195</v>
      </c>
      <c r="U132" s="1">
        <v>7850</v>
      </c>
      <c r="V132" s="8">
        <v>3701</v>
      </c>
      <c r="W132" s="1" t="s">
        <v>49</v>
      </c>
      <c r="X132" s="1">
        <v>975</v>
      </c>
      <c r="Y132" s="1">
        <f t="shared" si="6"/>
        <v>975</v>
      </c>
      <c r="Z132" s="1" t="str">
        <f t="shared" si="7"/>
        <v/>
      </c>
    </row>
    <row r="133" spans="3:26">
      <c r="C133" s="1">
        <v>9115</v>
      </c>
      <c r="D133" s="1" t="s">
        <v>140</v>
      </c>
      <c r="E133" s="1">
        <v>901</v>
      </c>
      <c r="F133" s="1">
        <v>14</v>
      </c>
      <c r="G133" s="1" t="s">
        <v>51</v>
      </c>
      <c r="H133" s="1">
        <v>972000</v>
      </c>
      <c r="I133" s="1">
        <v>20</v>
      </c>
      <c r="J133" s="1">
        <v>20</v>
      </c>
      <c r="K133" s="1">
        <v>20</v>
      </c>
      <c r="L133" s="1">
        <v>20</v>
      </c>
      <c r="M133" s="1">
        <v>1580</v>
      </c>
      <c r="N133" s="1">
        <v>30</v>
      </c>
      <c r="O133" s="1">
        <v>30</v>
      </c>
      <c r="P133" s="1">
        <v>20</v>
      </c>
      <c r="Q133" s="1">
        <v>20</v>
      </c>
      <c r="R133" s="8">
        <v>3701</v>
      </c>
      <c r="S133" s="1">
        <v>195</v>
      </c>
      <c r="U133" s="1">
        <v>7860</v>
      </c>
      <c r="V133" s="8">
        <v>3702</v>
      </c>
      <c r="W133" s="1" t="s">
        <v>55</v>
      </c>
      <c r="X133" s="1">
        <v>45</v>
      </c>
      <c r="Y133" s="1">
        <f t="shared" si="6"/>
        <v>45</v>
      </c>
      <c r="Z133" s="1" t="str">
        <f t="shared" si="7"/>
        <v/>
      </c>
    </row>
    <row r="134" spans="18:26">
      <c r="R134" s="8"/>
      <c r="V134" s="8"/>
      <c r="X134" s="1">
        <v>0</v>
      </c>
      <c r="Y134" s="1">
        <f t="shared" si="6"/>
        <v>0</v>
      </c>
      <c r="Z134" s="1" t="str">
        <f t="shared" si="7"/>
        <v/>
      </c>
    </row>
    <row r="135" spans="3:26">
      <c r="C135" s="1">
        <v>1001</v>
      </c>
      <c r="D135" s="1" t="s">
        <v>142</v>
      </c>
      <c r="E135" s="1">
        <v>10</v>
      </c>
      <c r="F135" s="1">
        <v>0</v>
      </c>
      <c r="G135" s="1" t="s">
        <v>51</v>
      </c>
      <c r="H135" s="1">
        <v>260000</v>
      </c>
      <c r="I135" s="1">
        <v>10</v>
      </c>
      <c r="J135" s="1">
        <v>10</v>
      </c>
      <c r="K135" s="1">
        <v>10</v>
      </c>
      <c r="L135" s="1">
        <v>10</v>
      </c>
      <c r="M135" s="1">
        <v>350</v>
      </c>
      <c r="N135" s="1">
        <v>10</v>
      </c>
      <c r="O135" s="1">
        <v>10</v>
      </c>
      <c r="P135" s="1">
        <v>10</v>
      </c>
      <c r="Q135" s="1">
        <v>10</v>
      </c>
      <c r="R135" s="8">
        <v>3701</v>
      </c>
      <c r="S135" s="1">
        <v>30</v>
      </c>
      <c r="U135" s="1">
        <v>1700</v>
      </c>
      <c r="V135" s="8">
        <v>3701</v>
      </c>
      <c r="W135" s="1" t="s">
        <v>49</v>
      </c>
      <c r="X135" s="1">
        <v>150</v>
      </c>
      <c r="Y135" s="1">
        <f t="shared" si="6"/>
        <v>150</v>
      </c>
      <c r="Z135" s="1" t="str">
        <f t="shared" si="7"/>
        <v/>
      </c>
    </row>
    <row r="136" spans="3:26">
      <c r="C136" s="1">
        <v>1002</v>
      </c>
      <c r="D136" s="1" t="s">
        <v>143</v>
      </c>
      <c r="E136" s="1">
        <v>10</v>
      </c>
      <c r="F136" s="1">
        <v>1</v>
      </c>
      <c r="G136" s="1" t="s">
        <v>53</v>
      </c>
      <c r="H136" s="1">
        <v>265000</v>
      </c>
      <c r="I136" s="1">
        <v>10</v>
      </c>
      <c r="J136" s="1">
        <v>10</v>
      </c>
      <c r="K136" s="1">
        <v>10</v>
      </c>
      <c r="L136" s="1">
        <v>10</v>
      </c>
      <c r="M136" s="1">
        <v>350</v>
      </c>
      <c r="N136" s="1">
        <v>20</v>
      </c>
      <c r="O136" s="1">
        <v>20</v>
      </c>
      <c r="P136" s="1">
        <v>10</v>
      </c>
      <c r="Q136" s="1">
        <v>10</v>
      </c>
      <c r="R136" s="8">
        <v>3701</v>
      </c>
      <c r="S136" s="1">
        <v>30</v>
      </c>
      <c r="U136" s="1">
        <v>1700</v>
      </c>
      <c r="V136" s="8">
        <v>3701</v>
      </c>
      <c r="W136" s="1" t="s">
        <v>49</v>
      </c>
      <c r="X136" s="1">
        <v>150</v>
      </c>
      <c r="Y136" s="1">
        <f t="shared" si="6"/>
        <v>150</v>
      </c>
      <c r="Z136" s="1" t="str">
        <f t="shared" si="7"/>
        <v/>
      </c>
    </row>
    <row r="137" spans="3:26">
      <c r="C137" s="1">
        <v>1003</v>
      </c>
      <c r="D137" s="1" t="s">
        <v>144</v>
      </c>
      <c r="E137" s="1">
        <v>10</v>
      </c>
      <c r="F137" s="1">
        <v>2</v>
      </c>
      <c r="G137" s="1" t="s">
        <v>51</v>
      </c>
      <c r="H137" s="1">
        <v>270000</v>
      </c>
      <c r="I137" s="1">
        <v>10</v>
      </c>
      <c r="J137" s="1">
        <v>10</v>
      </c>
      <c r="K137" s="1">
        <v>10</v>
      </c>
      <c r="L137" s="1">
        <v>10</v>
      </c>
      <c r="M137" s="1">
        <v>350</v>
      </c>
      <c r="N137" s="1">
        <v>20</v>
      </c>
      <c r="O137" s="1">
        <v>20</v>
      </c>
      <c r="P137" s="1">
        <v>10</v>
      </c>
      <c r="Q137" s="1">
        <v>10</v>
      </c>
      <c r="R137" s="8">
        <v>3701</v>
      </c>
      <c r="S137" s="1">
        <v>30</v>
      </c>
      <c r="U137" s="1">
        <v>1700</v>
      </c>
      <c r="V137" s="8">
        <v>3702</v>
      </c>
      <c r="W137" s="1" t="s">
        <v>55</v>
      </c>
      <c r="X137" s="1">
        <v>2</v>
      </c>
      <c r="Y137" s="1">
        <f t="shared" si="6"/>
        <v>2</v>
      </c>
      <c r="Z137" s="1" t="str">
        <f t="shared" si="7"/>
        <v/>
      </c>
    </row>
    <row r="138" spans="3:26">
      <c r="C138" s="1">
        <v>1004</v>
      </c>
      <c r="D138" s="1" t="s">
        <v>145</v>
      </c>
      <c r="E138" s="1">
        <v>10</v>
      </c>
      <c r="F138" s="1">
        <v>3</v>
      </c>
      <c r="G138" s="1" t="s">
        <v>53</v>
      </c>
      <c r="H138" s="1">
        <v>275000</v>
      </c>
      <c r="I138" s="1">
        <v>10</v>
      </c>
      <c r="J138" s="1">
        <v>10</v>
      </c>
      <c r="K138" s="1">
        <v>10</v>
      </c>
      <c r="L138" s="1">
        <v>10</v>
      </c>
      <c r="M138" s="1">
        <v>450</v>
      </c>
      <c r="N138" s="1">
        <v>10</v>
      </c>
      <c r="O138" s="1">
        <v>10</v>
      </c>
      <c r="P138" s="1">
        <v>10</v>
      </c>
      <c r="Q138" s="1">
        <v>10</v>
      </c>
      <c r="R138" s="8">
        <v>3701</v>
      </c>
      <c r="S138" s="1">
        <v>35</v>
      </c>
      <c r="U138" s="1">
        <v>2250</v>
      </c>
      <c r="V138" s="8">
        <v>3701</v>
      </c>
      <c r="W138" s="1" t="s">
        <v>49</v>
      </c>
      <c r="X138" s="1">
        <v>175</v>
      </c>
      <c r="Y138" s="1">
        <f t="shared" si="6"/>
        <v>175</v>
      </c>
      <c r="Z138" s="1" t="str">
        <f t="shared" si="7"/>
        <v/>
      </c>
    </row>
    <row r="139" spans="3:26">
      <c r="C139" s="1">
        <v>1005</v>
      </c>
      <c r="D139" s="1" t="s">
        <v>146</v>
      </c>
      <c r="E139" s="1">
        <v>10</v>
      </c>
      <c r="F139" s="1">
        <v>4</v>
      </c>
      <c r="G139" s="1" t="s">
        <v>51</v>
      </c>
      <c r="H139" s="1">
        <v>280000</v>
      </c>
      <c r="I139" s="1">
        <v>10</v>
      </c>
      <c r="J139" s="1">
        <v>10</v>
      </c>
      <c r="K139" s="1">
        <v>10</v>
      </c>
      <c r="L139" s="1">
        <v>10</v>
      </c>
      <c r="M139" s="1">
        <v>450</v>
      </c>
      <c r="N139" s="1">
        <v>20</v>
      </c>
      <c r="O139" s="1">
        <v>20</v>
      </c>
      <c r="P139" s="1">
        <v>10</v>
      </c>
      <c r="Q139" s="1">
        <v>10</v>
      </c>
      <c r="R139" s="8">
        <v>3701</v>
      </c>
      <c r="S139" s="1">
        <v>35</v>
      </c>
      <c r="U139" s="1">
        <v>2250</v>
      </c>
      <c r="V139" s="8">
        <v>3701</v>
      </c>
      <c r="W139" s="1" t="s">
        <v>49</v>
      </c>
      <c r="X139" s="1">
        <v>175</v>
      </c>
      <c r="Y139" s="1">
        <f t="shared" si="6"/>
        <v>175</v>
      </c>
      <c r="Z139" s="1" t="str">
        <f t="shared" si="7"/>
        <v/>
      </c>
    </row>
    <row r="140" spans="3:26">
      <c r="C140" s="1">
        <v>1006</v>
      </c>
      <c r="D140" s="1" t="s">
        <v>147</v>
      </c>
      <c r="E140" s="1">
        <v>10</v>
      </c>
      <c r="F140" s="1">
        <v>5</v>
      </c>
      <c r="G140" s="1" t="s">
        <v>53</v>
      </c>
      <c r="H140" s="1">
        <v>285000</v>
      </c>
      <c r="I140" s="1">
        <v>10</v>
      </c>
      <c r="J140" s="1">
        <v>10</v>
      </c>
      <c r="K140" s="1">
        <v>10</v>
      </c>
      <c r="L140" s="1">
        <v>10</v>
      </c>
      <c r="M140" s="1">
        <v>450</v>
      </c>
      <c r="N140" s="1">
        <v>20</v>
      </c>
      <c r="O140" s="1">
        <v>20</v>
      </c>
      <c r="P140" s="1">
        <v>10</v>
      </c>
      <c r="Q140" s="1">
        <v>10</v>
      </c>
      <c r="R140" s="8">
        <v>3701</v>
      </c>
      <c r="S140" s="1">
        <v>35</v>
      </c>
      <c r="U140" s="1">
        <v>2250</v>
      </c>
      <c r="V140" s="8">
        <v>3702</v>
      </c>
      <c r="W140" s="1" t="s">
        <v>55</v>
      </c>
      <c r="X140" s="1">
        <v>3</v>
      </c>
      <c r="Y140" s="1">
        <f t="shared" si="6"/>
        <v>3</v>
      </c>
      <c r="Z140" s="1" t="str">
        <f t="shared" si="7"/>
        <v/>
      </c>
    </row>
    <row r="141" spans="3:26">
      <c r="C141" s="1">
        <v>1007</v>
      </c>
      <c r="D141" s="1" t="s">
        <v>148</v>
      </c>
      <c r="E141" s="1">
        <v>10</v>
      </c>
      <c r="F141" s="1">
        <v>6</v>
      </c>
      <c r="G141" s="1" t="s">
        <v>51</v>
      </c>
      <c r="H141" s="1">
        <v>290000</v>
      </c>
      <c r="I141" s="1">
        <v>10</v>
      </c>
      <c r="J141" s="1">
        <v>10</v>
      </c>
      <c r="K141" s="1">
        <v>10</v>
      </c>
      <c r="L141" s="1">
        <v>10</v>
      </c>
      <c r="M141" s="1">
        <v>550</v>
      </c>
      <c r="N141" s="1">
        <v>10</v>
      </c>
      <c r="O141" s="1">
        <v>10</v>
      </c>
      <c r="P141" s="1">
        <v>10</v>
      </c>
      <c r="Q141" s="1">
        <v>10</v>
      </c>
      <c r="R141" s="8">
        <v>3701</v>
      </c>
      <c r="S141" s="1">
        <v>40</v>
      </c>
      <c r="U141" s="1">
        <v>2850</v>
      </c>
      <c r="V141" s="8">
        <v>3701</v>
      </c>
      <c r="W141" s="1" t="s">
        <v>49</v>
      </c>
      <c r="X141" s="1">
        <v>200</v>
      </c>
      <c r="Y141" s="1">
        <f t="shared" si="6"/>
        <v>200</v>
      </c>
      <c r="Z141" s="1" t="str">
        <f t="shared" si="7"/>
        <v/>
      </c>
    </row>
    <row r="142" spans="3:26">
      <c r="C142" s="1">
        <v>1008</v>
      </c>
      <c r="D142" s="1" t="s">
        <v>149</v>
      </c>
      <c r="E142" s="1">
        <v>10</v>
      </c>
      <c r="F142" s="1">
        <v>7</v>
      </c>
      <c r="G142" s="1" t="s">
        <v>53</v>
      </c>
      <c r="H142" s="1">
        <v>295000</v>
      </c>
      <c r="I142" s="1">
        <v>10</v>
      </c>
      <c r="J142" s="1">
        <v>10</v>
      </c>
      <c r="K142" s="1">
        <v>10</v>
      </c>
      <c r="L142" s="1">
        <v>10</v>
      </c>
      <c r="M142" s="1">
        <v>550</v>
      </c>
      <c r="N142" s="1">
        <v>20</v>
      </c>
      <c r="O142" s="1">
        <v>20</v>
      </c>
      <c r="P142" s="1">
        <v>10</v>
      </c>
      <c r="Q142" s="1">
        <v>10</v>
      </c>
      <c r="R142" s="8">
        <v>3701</v>
      </c>
      <c r="S142" s="1">
        <v>40</v>
      </c>
      <c r="U142" s="1">
        <v>2850</v>
      </c>
      <c r="V142" s="8">
        <v>3701</v>
      </c>
      <c r="W142" s="1" t="s">
        <v>49</v>
      </c>
      <c r="X142" s="1">
        <v>200</v>
      </c>
      <c r="Y142" s="1">
        <f t="shared" si="6"/>
        <v>200</v>
      </c>
      <c r="Z142" s="1" t="str">
        <f t="shared" si="7"/>
        <v/>
      </c>
    </row>
    <row r="143" spans="3:26">
      <c r="C143" s="1">
        <v>1009</v>
      </c>
      <c r="D143" s="1" t="s">
        <v>150</v>
      </c>
      <c r="E143" s="1">
        <v>10</v>
      </c>
      <c r="F143" s="1">
        <v>8</v>
      </c>
      <c r="G143" s="1" t="s">
        <v>51</v>
      </c>
      <c r="H143" s="1">
        <v>300000</v>
      </c>
      <c r="I143" s="1">
        <v>10</v>
      </c>
      <c r="J143" s="1">
        <v>10</v>
      </c>
      <c r="K143" s="1">
        <v>10</v>
      </c>
      <c r="L143" s="1">
        <v>10</v>
      </c>
      <c r="M143" s="1">
        <v>550</v>
      </c>
      <c r="N143" s="1">
        <v>20</v>
      </c>
      <c r="O143" s="1">
        <v>20</v>
      </c>
      <c r="P143" s="1">
        <v>10</v>
      </c>
      <c r="Q143" s="1">
        <v>10</v>
      </c>
      <c r="R143" s="8">
        <v>3701</v>
      </c>
      <c r="S143" s="1">
        <v>40</v>
      </c>
      <c r="U143" s="1">
        <v>2850</v>
      </c>
      <c r="V143" s="8">
        <v>3702</v>
      </c>
      <c r="W143" s="1" t="s">
        <v>55</v>
      </c>
      <c r="X143" s="1">
        <v>5</v>
      </c>
      <c r="Y143" s="1">
        <f t="shared" si="6"/>
        <v>5</v>
      </c>
      <c r="Z143" s="1" t="str">
        <f t="shared" ref="Z143:Z164" si="8">IF(Y143=X143,"","11111")</f>
        <v/>
      </c>
    </row>
    <row r="144" spans="3:26">
      <c r="C144" s="1">
        <v>1010</v>
      </c>
      <c r="D144" s="1" t="s">
        <v>151</v>
      </c>
      <c r="E144" s="1">
        <v>10</v>
      </c>
      <c r="F144" s="1">
        <v>9</v>
      </c>
      <c r="G144" s="1" t="s">
        <v>53</v>
      </c>
      <c r="H144" s="1">
        <v>305000</v>
      </c>
      <c r="I144" s="1">
        <v>10</v>
      </c>
      <c r="J144" s="1">
        <v>10</v>
      </c>
      <c r="K144" s="1">
        <v>10</v>
      </c>
      <c r="L144" s="1">
        <v>10</v>
      </c>
      <c r="M144" s="1">
        <v>700</v>
      </c>
      <c r="N144" s="1">
        <v>20</v>
      </c>
      <c r="O144" s="1">
        <v>20</v>
      </c>
      <c r="P144" s="1">
        <v>10</v>
      </c>
      <c r="Q144" s="1">
        <v>10</v>
      </c>
      <c r="R144" s="8">
        <v>3701</v>
      </c>
      <c r="S144" s="1">
        <v>50</v>
      </c>
      <c r="U144" s="1">
        <v>3400</v>
      </c>
      <c r="V144" s="8">
        <v>3701</v>
      </c>
      <c r="W144" s="1" t="s">
        <v>49</v>
      </c>
      <c r="X144" s="1">
        <v>250</v>
      </c>
      <c r="Y144" s="1">
        <f t="shared" si="6"/>
        <v>250</v>
      </c>
      <c r="Z144" s="1" t="str">
        <f t="shared" si="8"/>
        <v/>
      </c>
    </row>
    <row r="145" spans="3:26">
      <c r="C145" s="1">
        <v>1011</v>
      </c>
      <c r="D145" s="1" t="s">
        <v>152</v>
      </c>
      <c r="E145" s="1">
        <v>10</v>
      </c>
      <c r="F145" s="1">
        <v>10</v>
      </c>
      <c r="G145" s="1" t="s">
        <v>51</v>
      </c>
      <c r="H145" s="1">
        <v>310000</v>
      </c>
      <c r="I145" s="1">
        <v>20</v>
      </c>
      <c r="J145" s="1">
        <v>20</v>
      </c>
      <c r="K145" s="1">
        <v>10</v>
      </c>
      <c r="L145" s="1">
        <v>10</v>
      </c>
      <c r="M145" s="1">
        <v>700</v>
      </c>
      <c r="N145" s="1">
        <v>20</v>
      </c>
      <c r="O145" s="1">
        <v>20</v>
      </c>
      <c r="P145" s="1">
        <v>10</v>
      </c>
      <c r="Q145" s="1">
        <v>10</v>
      </c>
      <c r="R145" s="8">
        <v>3701</v>
      </c>
      <c r="S145" s="1">
        <v>50</v>
      </c>
      <c r="U145" s="1">
        <v>3400</v>
      </c>
      <c r="V145" s="8">
        <v>3701</v>
      </c>
      <c r="W145" s="1" t="s">
        <v>49</v>
      </c>
      <c r="X145" s="1">
        <v>250</v>
      </c>
      <c r="Y145" s="1">
        <f t="shared" si="6"/>
        <v>250</v>
      </c>
      <c r="Z145" s="1" t="str">
        <f t="shared" si="8"/>
        <v/>
      </c>
    </row>
    <row r="146" spans="3:26">
      <c r="C146" s="1">
        <v>1012</v>
      </c>
      <c r="D146" s="1" t="s">
        <v>153</v>
      </c>
      <c r="E146" s="1">
        <v>10</v>
      </c>
      <c r="F146" s="1">
        <v>11</v>
      </c>
      <c r="G146" s="1" t="s">
        <v>53</v>
      </c>
      <c r="H146" s="1">
        <v>315000</v>
      </c>
      <c r="I146" s="1">
        <v>20</v>
      </c>
      <c r="J146" s="1">
        <v>20</v>
      </c>
      <c r="K146" s="1">
        <v>10</v>
      </c>
      <c r="L146" s="1">
        <v>10</v>
      </c>
      <c r="M146" s="1">
        <v>700</v>
      </c>
      <c r="N146" s="1">
        <v>20</v>
      </c>
      <c r="O146" s="1">
        <v>20</v>
      </c>
      <c r="P146" s="1">
        <v>10</v>
      </c>
      <c r="Q146" s="1">
        <v>10</v>
      </c>
      <c r="R146" s="8">
        <v>3701</v>
      </c>
      <c r="S146" s="1">
        <v>50</v>
      </c>
      <c r="U146" s="1">
        <v>3400</v>
      </c>
      <c r="V146" s="8">
        <v>3702</v>
      </c>
      <c r="W146" s="1" t="s">
        <v>55</v>
      </c>
      <c r="X146" s="1">
        <v>10</v>
      </c>
      <c r="Y146" s="1">
        <f t="shared" si="6"/>
        <v>10</v>
      </c>
      <c r="Z146" s="1" t="str">
        <f t="shared" si="8"/>
        <v/>
      </c>
    </row>
    <row r="147" spans="3:26">
      <c r="C147" s="1">
        <v>1013</v>
      </c>
      <c r="D147" s="1" t="s">
        <v>154</v>
      </c>
      <c r="E147" s="1">
        <v>10</v>
      </c>
      <c r="F147" s="1">
        <v>12</v>
      </c>
      <c r="G147" s="1" t="s">
        <v>51</v>
      </c>
      <c r="H147" s="1">
        <v>320000</v>
      </c>
      <c r="I147" s="1">
        <v>10</v>
      </c>
      <c r="J147" s="1">
        <v>10</v>
      </c>
      <c r="K147" s="1">
        <v>20</v>
      </c>
      <c r="L147" s="1">
        <v>20</v>
      </c>
      <c r="M147" s="1">
        <v>800</v>
      </c>
      <c r="N147" s="1">
        <v>20</v>
      </c>
      <c r="O147" s="1">
        <v>20</v>
      </c>
      <c r="P147" s="1">
        <v>20</v>
      </c>
      <c r="Q147" s="1">
        <v>20</v>
      </c>
      <c r="R147" s="8">
        <v>3701</v>
      </c>
      <c r="S147" s="1">
        <v>65</v>
      </c>
      <c r="U147" s="1">
        <v>3950</v>
      </c>
      <c r="V147" s="8">
        <v>3701</v>
      </c>
      <c r="W147" s="1" t="s">
        <v>49</v>
      </c>
      <c r="X147" s="1">
        <v>325</v>
      </c>
      <c r="Y147" s="1">
        <f t="shared" si="6"/>
        <v>325</v>
      </c>
      <c r="Z147" s="1" t="str">
        <f t="shared" si="8"/>
        <v/>
      </c>
    </row>
    <row r="148" spans="3:26">
      <c r="C148" s="1">
        <v>1014</v>
      </c>
      <c r="D148" s="1" t="s">
        <v>155</v>
      </c>
      <c r="E148" s="1">
        <v>10</v>
      </c>
      <c r="F148" s="1">
        <v>13</v>
      </c>
      <c r="G148" s="1" t="s">
        <v>53</v>
      </c>
      <c r="H148" s="1">
        <v>325000</v>
      </c>
      <c r="I148" s="1">
        <v>20</v>
      </c>
      <c r="J148" s="1">
        <v>20</v>
      </c>
      <c r="K148" s="1">
        <v>20</v>
      </c>
      <c r="L148" s="1">
        <v>20</v>
      </c>
      <c r="M148" s="1">
        <v>800</v>
      </c>
      <c r="N148" s="1">
        <v>20</v>
      </c>
      <c r="O148" s="1">
        <v>20</v>
      </c>
      <c r="P148" s="1">
        <v>20</v>
      </c>
      <c r="Q148" s="1">
        <v>20</v>
      </c>
      <c r="R148" s="8">
        <v>3701</v>
      </c>
      <c r="S148" s="1">
        <v>65</v>
      </c>
      <c r="U148" s="1">
        <v>3950</v>
      </c>
      <c r="V148" s="8">
        <v>3701</v>
      </c>
      <c r="W148" s="1" t="s">
        <v>49</v>
      </c>
      <c r="X148" s="1">
        <v>325</v>
      </c>
      <c r="Y148" s="1">
        <f t="shared" si="6"/>
        <v>325</v>
      </c>
      <c r="Z148" s="1" t="str">
        <f t="shared" si="8"/>
        <v/>
      </c>
    </row>
    <row r="149" spans="3:26">
      <c r="C149" s="1">
        <v>1015</v>
      </c>
      <c r="D149" s="1" t="s">
        <v>156</v>
      </c>
      <c r="E149" s="1">
        <v>10</v>
      </c>
      <c r="F149" s="1">
        <v>14</v>
      </c>
      <c r="G149" s="1" t="s">
        <v>51</v>
      </c>
      <c r="H149" s="1">
        <v>675000</v>
      </c>
      <c r="I149" s="1">
        <v>20</v>
      </c>
      <c r="J149" s="1">
        <v>20</v>
      </c>
      <c r="K149" s="1">
        <v>20</v>
      </c>
      <c r="L149" s="1">
        <v>20</v>
      </c>
      <c r="M149" s="1">
        <v>800</v>
      </c>
      <c r="N149" s="1">
        <v>30</v>
      </c>
      <c r="O149" s="1">
        <v>30</v>
      </c>
      <c r="P149" s="1">
        <v>20</v>
      </c>
      <c r="Q149" s="1">
        <v>20</v>
      </c>
      <c r="R149" s="8">
        <v>3701</v>
      </c>
      <c r="S149" s="1">
        <v>65</v>
      </c>
      <c r="U149" s="1">
        <v>3950</v>
      </c>
      <c r="V149" s="8">
        <v>3702</v>
      </c>
      <c r="W149" s="1" t="s">
        <v>55</v>
      </c>
      <c r="X149" s="1">
        <v>15</v>
      </c>
      <c r="Y149" s="1">
        <f t="shared" si="6"/>
        <v>15</v>
      </c>
      <c r="Z149" s="1" t="str">
        <f t="shared" si="8"/>
        <v/>
      </c>
    </row>
    <row r="150" spans="18:26">
      <c r="R150" s="8"/>
      <c r="X150" s="1">
        <v>0</v>
      </c>
      <c r="Y150" s="1">
        <f t="shared" si="6"/>
        <v>0</v>
      </c>
      <c r="Z150" s="1" t="str">
        <f t="shared" si="8"/>
        <v/>
      </c>
    </row>
    <row r="151" spans="2:26">
      <c r="B151" s="5" t="s">
        <v>11</v>
      </c>
      <c r="C151" s="6" t="s">
        <v>157</v>
      </c>
      <c r="D151" s="3"/>
      <c r="X151" s="1">
        <v>0</v>
      </c>
      <c r="Y151" s="1">
        <f t="shared" ref="Y151:Y164" si="9">IF(W151="功法点",S151*5,X151)</f>
        <v>0</v>
      </c>
      <c r="Z151" s="1" t="str">
        <f t="shared" si="8"/>
        <v/>
      </c>
    </row>
    <row r="152" spans="3:26">
      <c r="C152" s="1">
        <v>10001</v>
      </c>
      <c r="D152" s="1" t="s">
        <v>158</v>
      </c>
      <c r="E152" s="1">
        <v>1000</v>
      </c>
      <c r="F152" s="1">
        <v>0</v>
      </c>
      <c r="G152" s="1" t="s">
        <v>51</v>
      </c>
      <c r="H152" s="1">
        <v>185000</v>
      </c>
      <c r="I152" s="1">
        <v>10</v>
      </c>
      <c r="J152" s="1">
        <v>10</v>
      </c>
      <c r="K152" s="1">
        <v>10</v>
      </c>
      <c r="L152" s="1">
        <v>10</v>
      </c>
      <c r="M152" s="1">
        <v>350</v>
      </c>
      <c r="N152" s="1">
        <v>10</v>
      </c>
      <c r="O152" s="1">
        <v>10</v>
      </c>
      <c r="P152" s="1">
        <v>10</v>
      </c>
      <c r="Q152" s="1">
        <v>10</v>
      </c>
      <c r="R152" s="8">
        <v>3701</v>
      </c>
      <c r="S152" s="1">
        <v>15</v>
      </c>
      <c r="U152" s="1">
        <v>1700</v>
      </c>
      <c r="V152" s="8">
        <v>3701</v>
      </c>
      <c r="W152" s="1" t="s">
        <v>49</v>
      </c>
      <c r="X152" s="9">
        <v>75</v>
      </c>
      <c r="Y152" s="1">
        <f t="shared" si="9"/>
        <v>75</v>
      </c>
      <c r="Z152" s="1" t="str">
        <f t="shared" si="8"/>
        <v/>
      </c>
    </row>
    <row r="153" spans="3:26">
      <c r="C153" s="1">
        <v>10002</v>
      </c>
      <c r="D153" s="1" t="s">
        <v>159</v>
      </c>
      <c r="E153" s="1">
        <v>1000</v>
      </c>
      <c r="F153" s="1">
        <v>1</v>
      </c>
      <c r="G153" s="1" t="s">
        <v>53</v>
      </c>
      <c r="H153" s="1">
        <v>190000</v>
      </c>
      <c r="I153" s="1">
        <v>10</v>
      </c>
      <c r="J153" s="1">
        <v>10</v>
      </c>
      <c r="K153" s="1">
        <v>10</v>
      </c>
      <c r="L153" s="1">
        <v>10</v>
      </c>
      <c r="M153" s="1">
        <v>350</v>
      </c>
      <c r="N153" s="1">
        <v>20</v>
      </c>
      <c r="O153" s="1">
        <v>20</v>
      </c>
      <c r="P153" s="1">
        <v>10</v>
      </c>
      <c r="Q153" s="1">
        <v>10</v>
      </c>
      <c r="R153" s="8">
        <v>3701</v>
      </c>
      <c r="S153" s="1">
        <v>15</v>
      </c>
      <c r="U153" s="1">
        <v>1700</v>
      </c>
      <c r="V153" s="8">
        <v>3701</v>
      </c>
      <c r="W153" s="1" t="s">
        <v>49</v>
      </c>
      <c r="X153" s="9">
        <v>75</v>
      </c>
      <c r="Y153" s="1">
        <f t="shared" si="9"/>
        <v>75</v>
      </c>
      <c r="Z153" s="1" t="str">
        <f t="shared" si="8"/>
        <v/>
      </c>
    </row>
    <row r="154" spans="3:26">
      <c r="C154" s="1">
        <v>10003</v>
      </c>
      <c r="D154" s="1" t="s">
        <v>160</v>
      </c>
      <c r="E154" s="1">
        <v>1000</v>
      </c>
      <c r="F154" s="1">
        <v>2</v>
      </c>
      <c r="G154" s="1" t="s">
        <v>51</v>
      </c>
      <c r="H154" s="1">
        <v>195000</v>
      </c>
      <c r="I154" s="1">
        <v>10</v>
      </c>
      <c r="J154" s="1">
        <v>10</v>
      </c>
      <c r="K154" s="1">
        <v>10</v>
      </c>
      <c r="L154" s="1">
        <v>10</v>
      </c>
      <c r="M154" s="1">
        <v>350</v>
      </c>
      <c r="N154" s="1">
        <v>20</v>
      </c>
      <c r="O154" s="1">
        <v>20</v>
      </c>
      <c r="P154" s="1">
        <v>10</v>
      </c>
      <c r="Q154" s="1">
        <v>10</v>
      </c>
      <c r="R154" s="8">
        <v>3701</v>
      </c>
      <c r="S154" s="1">
        <v>15</v>
      </c>
      <c r="U154" s="1">
        <v>1700</v>
      </c>
      <c r="V154" s="8">
        <v>3702</v>
      </c>
      <c r="W154" s="1" t="s">
        <v>55</v>
      </c>
      <c r="X154" s="9">
        <v>1</v>
      </c>
      <c r="Y154" s="1">
        <f t="shared" si="9"/>
        <v>1</v>
      </c>
      <c r="Z154" s="1" t="str">
        <f t="shared" si="8"/>
        <v/>
      </c>
    </row>
    <row r="155" spans="3:26">
      <c r="C155" s="1">
        <v>10004</v>
      </c>
      <c r="D155" s="1" t="s">
        <v>161</v>
      </c>
      <c r="E155" s="1">
        <v>1000</v>
      </c>
      <c r="F155" s="1">
        <v>3</v>
      </c>
      <c r="G155" s="1" t="s">
        <v>53</v>
      </c>
      <c r="H155" s="1">
        <v>200000</v>
      </c>
      <c r="I155" s="1">
        <v>10</v>
      </c>
      <c r="J155" s="1">
        <v>10</v>
      </c>
      <c r="K155" s="1">
        <v>10</v>
      </c>
      <c r="L155" s="1">
        <v>10</v>
      </c>
      <c r="M155" s="1">
        <v>450</v>
      </c>
      <c r="N155" s="1">
        <v>10</v>
      </c>
      <c r="O155" s="1">
        <v>10</v>
      </c>
      <c r="P155" s="1">
        <v>10</v>
      </c>
      <c r="Q155" s="1">
        <v>10</v>
      </c>
      <c r="R155" s="8">
        <v>3701</v>
      </c>
      <c r="S155" s="1">
        <v>18</v>
      </c>
      <c r="U155" s="1">
        <v>2250</v>
      </c>
      <c r="V155" s="8">
        <v>3701</v>
      </c>
      <c r="W155" s="1" t="s">
        <v>49</v>
      </c>
      <c r="X155" s="9">
        <v>90</v>
      </c>
      <c r="Y155" s="1">
        <f t="shared" si="9"/>
        <v>90</v>
      </c>
      <c r="Z155" s="1" t="str">
        <f t="shared" si="8"/>
        <v/>
      </c>
    </row>
    <row r="156" spans="3:26">
      <c r="C156" s="1">
        <v>10005</v>
      </c>
      <c r="D156" s="1" t="s">
        <v>162</v>
      </c>
      <c r="E156" s="1">
        <v>1000</v>
      </c>
      <c r="F156" s="1">
        <v>4</v>
      </c>
      <c r="G156" s="1" t="s">
        <v>51</v>
      </c>
      <c r="H156" s="1">
        <v>205000</v>
      </c>
      <c r="I156" s="1">
        <v>10</v>
      </c>
      <c r="J156" s="1">
        <v>10</v>
      </c>
      <c r="K156" s="1">
        <v>10</v>
      </c>
      <c r="L156" s="1">
        <v>10</v>
      </c>
      <c r="M156" s="1">
        <v>450</v>
      </c>
      <c r="N156" s="1">
        <v>20</v>
      </c>
      <c r="O156" s="1">
        <v>20</v>
      </c>
      <c r="P156" s="1">
        <v>10</v>
      </c>
      <c r="Q156" s="1">
        <v>10</v>
      </c>
      <c r="R156" s="8">
        <v>3701</v>
      </c>
      <c r="S156" s="1">
        <v>18</v>
      </c>
      <c r="U156" s="1">
        <v>2250</v>
      </c>
      <c r="V156" s="8">
        <v>3701</v>
      </c>
      <c r="W156" s="1" t="s">
        <v>49</v>
      </c>
      <c r="X156" s="9">
        <v>90</v>
      </c>
      <c r="Y156" s="1">
        <f t="shared" si="9"/>
        <v>90</v>
      </c>
      <c r="Z156" s="1" t="str">
        <f t="shared" si="8"/>
        <v/>
      </c>
    </row>
    <row r="157" spans="3:26">
      <c r="C157" s="1">
        <v>10006</v>
      </c>
      <c r="D157" s="1" t="s">
        <v>163</v>
      </c>
      <c r="E157" s="1">
        <v>1000</v>
      </c>
      <c r="F157" s="1">
        <v>5</v>
      </c>
      <c r="G157" s="1" t="s">
        <v>53</v>
      </c>
      <c r="H157" s="1">
        <v>360000</v>
      </c>
      <c r="I157" s="1">
        <v>10</v>
      </c>
      <c r="J157" s="1">
        <v>10</v>
      </c>
      <c r="K157" s="1">
        <v>10</v>
      </c>
      <c r="L157" s="1">
        <v>10</v>
      </c>
      <c r="M157" s="1">
        <v>450</v>
      </c>
      <c r="N157" s="1">
        <v>20</v>
      </c>
      <c r="O157" s="1">
        <v>20</v>
      </c>
      <c r="P157" s="1">
        <v>10</v>
      </c>
      <c r="Q157" s="1">
        <v>10</v>
      </c>
      <c r="R157" s="8">
        <v>3701</v>
      </c>
      <c r="S157" s="1">
        <v>18</v>
      </c>
      <c r="U157" s="1">
        <v>2250</v>
      </c>
      <c r="V157" s="8">
        <v>3702</v>
      </c>
      <c r="W157" s="1" t="s">
        <v>55</v>
      </c>
      <c r="X157" s="9">
        <v>1</v>
      </c>
      <c r="Y157" s="1">
        <f t="shared" si="9"/>
        <v>1</v>
      </c>
      <c r="Z157" s="1" t="str">
        <f t="shared" si="8"/>
        <v/>
      </c>
    </row>
    <row r="158" spans="24:26">
      <c r="X158" s="1">
        <v>0</v>
      </c>
      <c r="Y158" s="1">
        <f t="shared" si="9"/>
        <v>0</v>
      </c>
      <c r="Z158" s="1" t="str">
        <f t="shared" si="8"/>
        <v/>
      </c>
    </row>
    <row r="159" spans="3:26">
      <c r="C159" s="1">
        <v>10501</v>
      </c>
      <c r="D159" s="1" t="s">
        <v>158</v>
      </c>
      <c r="E159" s="1">
        <v>1001</v>
      </c>
      <c r="F159" s="1">
        <v>0</v>
      </c>
      <c r="G159" s="1" t="s">
        <v>51</v>
      </c>
      <c r="H159" s="1">
        <v>185000</v>
      </c>
      <c r="I159" s="1">
        <v>10</v>
      </c>
      <c r="J159" s="1">
        <v>10</v>
      </c>
      <c r="K159" s="1">
        <v>10</v>
      </c>
      <c r="L159" s="1">
        <v>10</v>
      </c>
      <c r="M159" s="1">
        <v>350</v>
      </c>
      <c r="N159" s="1">
        <v>10</v>
      </c>
      <c r="O159" s="1">
        <v>10</v>
      </c>
      <c r="P159" s="1">
        <v>10</v>
      </c>
      <c r="Q159" s="1">
        <v>10</v>
      </c>
      <c r="R159" s="8">
        <v>3701</v>
      </c>
      <c r="S159" s="1">
        <v>15</v>
      </c>
      <c r="U159" s="1">
        <v>1700</v>
      </c>
      <c r="V159" s="8">
        <v>3701</v>
      </c>
      <c r="W159" s="1" t="s">
        <v>49</v>
      </c>
      <c r="X159" s="9">
        <v>75</v>
      </c>
      <c r="Y159" s="1">
        <f t="shared" si="9"/>
        <v>75</v>
      </c>
      <c r="Z159" s="1" t="str">
        <f t="shared" si="8"/>
        <v/>
      </c>
    </row>
    <row r="160" spans="3:26">
      <c r="C160" s="1">
        <v>10502</v>
      </c>
      <c r="D160" s="1" t="s">
        <v>159</v>
      </c>
      <c r="E160" s="1">
        <v>1001</v>
      </c>
      <c r="F160" s="1">
        <v>1</v>
      </c>
      <c r="G160" s="1" t="s">
        <v>53</v>
      </c>
      <c r="H160" s="1">
        <v>190000</v>
      </c>
      <c r="I160" s="1">
        <v>10</v>
      </c>
      <c r="J160" s="1">
        <v>10</v>
      </c>
      <c r="K160" s="1">
        <v>10</v>
      </c>
      <c r="L160" s="1">
        <v>10</v>
      </c>
      <c r="M160" s="1">
        <v>350</v>
      </c>
      <c r="N160" s="1">
        <v>20</v>
      </c>
      <c r="O160" s="1">
        <v>20</v>
      </c>
      <c r="P160" s="1">
        <v>10</v>
      </c>
      <c r="Q160" s="1">
        <v>10</v>
      </c>
      <c r="R160" s="8">
        <v>3701</v>
      </c>
      <c r="S160" s="1">
        <v>15</v>
      </c>
      <c r="U160" s="1">
        <v>1700</v>
      </c>
      <c r="V160" s="8">
        <v>3701</v>
      </c>
      <c r="W160" s="1" t="s">
        <v>49</v>
      </c>
      <c r="X160" s="9">
        <v>75</v>
      </c>
      <c r="Y160" s="1">
        <f t="shared" si="9"/>
        <v>75</v>
      </c>
      <c r="Z160" s="1" t="str">
        <f t="shared" si="8"/>
        <v/>
      </c>
    </row>
    <row r="161" spans="3:26">
      <c r="C161" s="1">
        <v>10503</v>
      </c>
      <c r="D161" s="1" t="s">
        <v>160</v>
      </c>
      <c r="E161" s="1">
        <v>1001</v>
      </c>
      <c r="F161" s="1">
        <v>2</v>
      </c>
      <c r="G161" s="1" t="s">
        <v>51</v>
      </c>
      <c r="H161" s="1">
        <v>195000</v>
      </c>
      <c r="I161" s="1">
        <v>10</v>
      </c>
      <c r="J161" s="1">
        <v>10</v>
      </c>
      <c r="K161" s="1">
        <v>10</v>
      </c>
      <c r="L161" s="1">
        <v>10</v>
      </c>
      <c r="M161" s="1">
        <v>350</v>
      </c>
      <c r="N161" s="1">
        <v>20</v>
      </c>
      <c r="O161" s="1">
        <v>20</v>
      </c>
      <c r="P161" s="1">
        <v>10</v>
      </c>
      <c r="Q161" s="1">
        <v>10</v>
      </c>
      <c r="R161" s="8">
        <v>3701</v>
      </c>
      <c r="S161" s="1">
        <v>20</v>
      </c>
      <c r="U161" s="1">
        <v>1700</v>
      </c>
      <c r="V161" s="8">
        <v>3702</v>
      </c>
      <c r="W161" s="1" t="s">
        <v>55</v>
      </c>
      <c r="X161" s="9">
        <v>50</v>
      </c>
      <c r="Y161" s="1">
        <f t="shared" si="9"/>
        <v>50</v>
      </c>
      <c r="Z161" s="1" t="str">
        <f t="shared" si="8"/>
        <v/>
      </c>
    </row>
    <row r="162" spans="3:26">
      <c r="C162" s="1">
        <v>10504</v>
      </c>
      <c r="D162" s="1" t="s">
        <v>161</v>
      </c>
      <c r="E162" s="1">
        <v>1001</v>
      </c>
      <c r="F162" s="1">
        <v>3</v>
      </c>
      <c r="G162" s="1" t="s">
        <v>53</v>
      </c>
      <c r="H162" s="1">
        <v>200000</v>
      </c>
      <c r="I162" s="1">
        <v>10</v>
      </c>
      <c r="J162" s="1">
        <v>10</v>
      </c>
      <c r="K162" s="1">
        <v>10</v>
      </c>
      <c r="L162" s="1">
        <v>10</v>
      </c>
      <c r="M162" s="1">
        <v>450</v>
      </c>
      <c r="N162" s="1">
        <v>10</v>
      </c>
      <c r="O162" s="1">
        <v>10</v>
      </c>
      <c r="P162" s="1">
        <v>10</v>
      </c>
      <c r="Q162" s="1">
        <v>10</v>
      </c>
      <c r="R162" s="8">
        <v>3701</v>
      </c>
      <c r="S162" s="1">
        <v>20</v>
      </c>
      <c r="U162" s="1">
        <v>2250</v>
      </c>
      <c r="V162" s="8">
        <v>3701</v>
      </c>
      <c r="W162" s="1" t="s">
        <v>49</v>
      </c>
      <c r="X162" s="9">
        <v>100</v>
      </c>
      <c r="Y162" s="1">
        <f t="shared" si="9"/>
        <v>100</v>
      </c>
      <c r="Z162" s="1" t="str">
        <f t="shared" si="8"/>
        <v/>
      </c>
    </row>
    <row r="163" spans="3:26">
      <c r="C163" s="1">
        <v>10505</v>
      </c>
      <c r="D163" s="1" t="s">
        <v>162</v>
      </c>
      <c r="E163" s="1">
        <v>1001</v>
      </c>
      <c r="F163" s="1">
        <v>4</v>
      </c>
      <c r="G163" s="1" t="s">
        <v>51</v>
      </c>
      <c r="H163" s="1">
        <v>205000</v>
      </c>
      <c r="I163" s="1">
        <v>10</v>
      </c>
      <c r="J163" s="1">
        <v>10</v>
      </c>
      <c r="K163" s="1">
        <v>10</v>
      </c>
      <c r="L163" s="1">
        <v>10</v>
      </c>
      <c r="M163" s="1">
        <v>450</v>
      </c>
      <c r="N163" s="1">
        <v>20</v>
      </c>
      <c r="O163" s="1">
        <v>20</v>
      </c>
      <c r="P163" s="1">
        <v>10</v>
      </c>
      <c r="Q163" s="1">
        <v>10</v>
      </c>
      <c r="R163" s="8">
        <v>3701</v>
      </c>
      <c r="S163" s="1">
        <v>30</v>
      </c>
      <c r="U163" s="1">
        <v>2250</v>
      </c>
      <c r="V163" s="8">
        <v>3701</v>
      </c>
      <c r="W163" s="1" t="s">
        <v>49</v>
      </c>
      <c r="X163" s="9">
        <v>150</v>
      </c>
      <c r="Y163" s="1">
        <f t="shared" si="9"/>
        <v>150</v>
      </c>
      <c r="Z163" s="1" t="str">
        <f t="shared" si="8"/>
        <v/>
      </c>
    </row>
    <row r="164" spans="3:26">
      <c r="C164" s="1">
        <v>10506</v>
      </c>
      <c r="D164" s="1" t="s">
        <v>163</v>
      </c>
      <c r="E164" s="1">
        <v>1001</v>
      </c>
      <c r="F164" s="1">
        <v>5</v>
      </c>
      <c r="G164" s="1" t="s">
        <v>53</v>
      </c>
      <c r="H164" s="1">
        <v>360000</v>
      </c>
      <c r="I164" s="1">
        <v>10</v>
      </c>
      <c r="J164" s="1">
        <v>10</v>
      </c>
      <c r="K164" s="1">
        <v>10</v>
      </c>
      <c r="L164" s="1">
        <v>10</v>
      </c>
      <c r="M164" s="1">
        <v>450</v>
      </c>
      <c r="N164" s="1">
        <v>20</v>
      </c>
      <c r="O164" s="1">
        <v>20</v>
      </c>
      <c r="P164" s="1">
        <v>10</v>
      </c>
      <c r="Q164" s="1">
        <v>10</v>
      </c>
      <c r="R164" s="8">
        <v>3701</v>
      </c>
      <c r="S164" s="1">
        <v>30</v>
      </c>
      <c r="U164" s="1">
        <v>2250</v>
      </c>
      <c r="V164" s="8">
        <v>3702</v>
      </c>
      <c r="W164" s="1" t="s">
        <v>55</v>
      </c>
      <c r="X164" s="9">
        <v>1</v>
      </c>
      <c r="Y164" s="1">
        <f t="shared" si="9"/>
        <v>1</v>
      </c>
      <c r="Z164" s="1" t="str">
        <f t="shared" si="8"/>
        <v/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#表格说明</vt:lpstr>
      <vt:lpstr>TalentRouteConfig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2006-09-17T00:00:00Z</dcterms:created>
  <dcterms:modified xsi:type="dcterms:W3CDTF">2024-07-08T02:01:49Z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96D2DF3E1F5740D08B5474F5F50DFCFC_12</vt:lpwstr>
  </property>
</Properties>
</file>